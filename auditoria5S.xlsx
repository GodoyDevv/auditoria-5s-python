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https://delgadiadema-my.sharepoint.com/personal/ingrid_ferreira_delga_com_br/Documents/01. Gestão de Projetos/03. Projeto 5S - Delga Ferraz/01. Gerenciamento de Produção/"/>
    </mc:Choice>
  </mc:AlternateContent>
  <xr:revisionPtr revIDLastSave="0" documentId="8_{E37A3C9B-5D88-42CB-AAF8-1E2777CF0EA3}" xr6:coauthVersionLast="47" xr6:coauthVersionMax="47" xr10:uidLastSave="{00000000-0000-0000-0000-000000000000}"/>
  <bookViews>
    <workbookView xWindow="28680" yWindow="-120" windowWidth="20730" windowHeight="11040" xr2:uid="{00000000-000D-0000-FFFF-FFFF00000000}"/>
  </bookViews>
  <sheets>
    <sheet name="Sheet1" sheetId="1" r:id="rId1"/>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65" i="1" l="1"/>
  <c r="AG64" i="1"/>
  <c r="AG58" i="1"/>
  <c r="AG59" i="1"/>
  <c r="AG60" i="1"/>
  <c r="AG61" i="1"/>
  <c r="AG62" i="1"/>
  <c r="AG63" i="1"/>
  <c r="AG57" i="1"/>
  <c r="AG54" i="1"/>
  <c r="AG55" i="1"/>
  <c r="AG56" i="1"/>
  <c r="AG53" i="1"/>
  <c r="AG52"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16" i="1" a="1"/>
  <c r="A1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<sst xmlns="http://schemas.openxmlformats.org/spreadsheetml/2006/main" count="1770" uniqueCount="220">
  <si>
    <t>Id</t>
  </si>
  <si>
    <t>Hora de início</t>
  </si>
  <si>
    <t>Hora de conclusão</t>
  </si>
  <si>
    <t>Email</t>
  </si>
  <si>
    <t>Nome</t>
  </si>
  <si>
    <t>Unidade Delga</t>
  </si>
  <si>
    <t>Qual é o local que está auditando?</t>
  </si>
  <si>
    <t>Identificação do Auditor </t>
  </si>
  <si>
    <t>1- Existem materiais ou objetos desnecessários ou sem uso no posto de trabalho?.Materiais e objetos</t>
  </si>
  <si>
    <t>2 - As ferramentas / equipamentos tem fácil acesso?.Acessibilidade em ferramentas ou Equipamentos</t>
  </si>
  <si>
    <t>3 - Os documentos necessários, estão disponíveis no posto de trabalho ? Estão preenchidos corretamente e legíveis ?.Documentos do posto de trabalho</t>
  </si>
  <si>
    <t>4 - Existem objetos que oferecem risco ou atrapalhando  a passagem.Acesso e riscos.</t>
  </si>
  <si>
    <t>5 - Armários, mesas, maquinas, ferramentas, dispositivos estão organizados?.Organização /  Localização</t>
  </si>
  <si>
    <t>6 - As identificações estão adequadas no posto de trabalho? Os armários, maquinas, locais estão identificados?.Identificação</t>
  </si>
  <si>
    <t>7 - Existe fios / cabos expostos?.Fios / Cabos</t>
  </si>
  <si>
    <t>8 - Existem demarcações no piso  e estão em bom estado?.Demarcações  do piso</t>
  </si>
  <si>
    <t>9 - Os   padrões definidos, estão sendo seguidos?
.Padrões estabelecidos</t>
  </si>
  <si>
    <t>10 - Os pisos são mantidos limpos e sem resíduos, água e óleo?.Limpeza  geral</t>
  </si>
  <si>
    <t>11 - Existe um plano de limpeza definido, está sendo seguido?.Plano de limpeza</t>
  </si>
  <si>
    <t>12 - Ambiente adequado/ iluminação?.Ambiente</t>
  </si>
  <si>
    <t>13 - Existe algum item de manutenção predial e elétrica sem tratativa?.Manutenção</t>
  </si>
  <si>
    <t>14 - Lixeiras estão disponíveis, os resíduos são descartados na lixeira correta, existe indicação  nas lixeiras ?.Coleta seletiva</t>
  </si>
  <si>
    <t>15 - Os extintores e demais itens de segurança  estão em áreas de fácil acesso e aptos para uso? EPI's são usados corretamente?.Itens de segurança</t>
  </si>
  <si>
    <t>16 - Existe um padrão + check list de controle periódico e está sendo seguido?.Padrão subárea</t>
  </si>
  <si>
    <t>17 - Percepção da padronização fora da época da auditoria.Aderência da padronização</t>
  </si>
  <si>
    <t>18 - Existe padronização dos documentos e são seguidos? Ex: FTP, plano de controle, instruções..Documentos do  posto de trabalho</t>
  </si>
  <si>
    <t>19 - Os colaboradores estão capacitados, possuem conhecimento sobre 5S? (entrevistar um membro).Treinamento</t>
  </si>
  <si>
    <t>20 - As ações das auditorias anteriores foram concluídas?.Controle das ações</t>
  </si>
  <si>
    <t>21 - O check list padrão desenvolvido abrange o necessário? Foi atualizado?.Procedimentos</t>
  </si>
  <si>
    <t>22 - Existe percepção e evidencia de melhoria continua no posto?.Melhoria</t>
  </si>
  <si>
    <t>Sugestões de Melhorias</t>
  </si>
  <si>
    <t>Observações</t>
  </si>
  <si>
    <t>QTD. Ruim</t>
  </si>
  <si>
    <t>anonymous</t>
  </si>
  <si>
    <t>Ferraz de Vasconcelos </t>
  </si>
  <si>
    <t>CS1</t>
  </si>
  <si>
    <t>Ingrid Ferreira</t>
  </si>
  <si>
    <t>Ruim</t>
  </si>
  <si>
    <t>Regular</t>
  </si>
  <si>
    <t>Bom</t>
  </si>
  <si>
    <t xml:space="preserve">Iluminação </t>
  </si>
  <si>
    <t>N/a</t>
  </si>
  <si>
    <t>Portaria</t>
  </si>
  <si>
    <t>Bruno Godoy</t>
  </si>
  <si>
    <t>Ótimo</t>
  </si>
  <si>
    <t>N/A</t>
  </si>
  <si>
    <t xml:space="preserve">RODRIGO AZEVEDO </t>
  </si>
  <si>
    <t xml:space="preserve">Limpeza e demarcação da área </t>
  </si>
  <si>
    <t>CS2</t>
  </si>
  <si>
    <t xml:space="preserve">Lucas Oliveira </t>
  </si>
  <si>
    <t xml:space="preserve">Atualizar documentos,  FTP, plano de controle. </t>
  </si>
  <si>
    <t xml:space="preserve">Almox. Componente </t>
  </si>
  <si>
    <t xml:space="preserve">Fábio Oliveira </t>
  </si>
  <si>
    <t xml:space="preserve">Mapa - layout da área 
Organograma 
Padrão da área 
</t>
  </si>
  <si>
    <t>Recipiente para coleta seletiva 
Check list limpeza diária/ semanal das prateleiras 
Inventário cíclico por endereço.</t>
  </si>
  <si>
    <t xml:space="preserve">Oficina - Ferramentaria </t>
  </si>
  <si>
    <t xml:space="preserve">Anderson Santos </t>
  </si>
  <si>
    <t xml:space="preserve">RH </t>
  </si>
  <si>
    <t xml:space="preserve">Área da engenharia </t>
  </si>
  <si>
    <t xml:space="preserve">Gleidson Cunha </t>
  </si>
  <si>
    <t xml:space="preserve">Área recreativa </t>
  </si>
  <si>
    <t xml:space="preserve">Finalizar a fixação das tampas das caixas de passagem de cabo elétrico </t>
  </si>
  <si>
    <t xml:space="preserve">Plasma </t>
  </si>
  <si>
    <t>anônima</t>
  </si>
  <si>
    <t>Teste</t>
  </si>
  <si>
    <t xml:space="preserve">Ingrid Ferreira </t>
  </si>
  <si>
    <t>Engenharia</t>
  </si>
  <si>
    <t>Alexandre Evangelista</t>
  </si>
  <si>
    <t xml:space="preserve">Questão 15: Ha lâmpadas queimadas e faltantes
Questão 17: A etiqueta de identificação das lixeiras está rasgada
Questão 17: No coletor de resíduos não recliclaveis haviam copos descartáveis
</t>
  </si>
  <si>
    <t>Questão 15: Ha lâmpadas queimadas e faltantes
Questão 17: A etiqueta de identificação das lixeiras está rasgada
Questão 17: No coletor de resíduos não recliclaveis haviam copos descartáveis</t>
  </si>
  <si>
    <t>Ferramantaria</t>
  </si>
  <si>
    <t>Anderson Silva Melo</t>
  </si>
  <si>
    <t xml:space="preserve">Melhora lay out
Iluminação
Limpeza 
Organização
Instalações elétrica precárias.
</t>
  </si>
  <si>
    <t>WP Solda</t>
  </si>
  <si>
    <t xml:space="preserve">Emerson Paschoalino </t>
  </si>
  <si>
    <t>Caixas com informações confusas excesso de etiqueta nas caixas, folha de sulfite escrito com canetao, etiqueta de inventário, etiqueta azul com código de barras isso tudo em uma mesma caixa.
- Padronizar etiqueta padrão único 
- Eliminar etiqueta antiga 
- Definir cores por categoria 
Componentes, peças acabadas, peças obsoleto encontrado no estoque.
- Fazer correção e nivelamento do piso.
- Reforçar iluminação na área 
- Demarcar piso e colocar placas visuais 
- Consertar telhado.</t>
  </si>
  <si>
    <t xml:space="preserve">4.1 muitas etiquetas sem uso em cima da mesa.
7.4 muitas caixas no corredor fora do layout para transbordo.
8.5 muitas etiquetas sem uso sem local definido fazer porta identificação ou definir local de armazenamento 
9.6 Falta de identificação padrão para mesa e armários 
11.8 Posto com marcação de layout apagado 
12.9 Não evidenciado formulário ou procedimento de padronização.
13.10 Evidenciado piso danificado com várias imperfeições, excesso de ondulação dificultando movimentação das caixas com palheteira e empilhadeira, piso com poça d'água devido furos no telhado.
14.11 Não existe plano de limpeza definido 
15.12 Iluminação fraca, principalmente porque fazem transbordo de peças.
17.14 Tampo azul e vermelho sem demarcação da área.
19.16 Não a evidência formulário ou procedimento de padronização 
20.17 Não a evidência padronização efetiva no estoque.
24.21 Não a evidência check list padrão 
25.22 Não a evidência melhoria continua </t>
  </si>
  <si>
    <t xml:space="preserve">Expedição </t>
  </si>
  <si>
    <t xml:space="preserve">Kleber Geovan da Silva Borges </t>
  </si>
  <si>
    <t>Melhora iluminação, principalmente corredor fundo.</t>
  </si>
  <si>
    <t xml:space="preserve">1Área do último corretor encontrado, tampa de plástico dentro mix.
2Vassoura e escada em área não apropriado.
3porta de acesso externo caindo. 
4 tampa de embalagem em local não conforme, fora dos padrões.
</t>
  </si>
  <si>
    <t xml:space="preserve">Laser </t>
  </si>
  <si>
    <t xml:space="preserve">Marcelo Batista </t>
  </si>
  <si>
    <t>Estoque wip</t>
  </si>
  <si>
    <t xml:space="preserve">Lucas Acacio </t>
  </si>
  <si>
    <t>Escritório RH</t>
  </si>
  <si>
    <t>Jonathas</t>
  </si>
  <si>
    <t>Elaborar cronograma de limpeza para acompanhamento</t>
  </si>
  <si>
    <t>Usinagem chassis</t>
  </si>
  <si>
    <t xml:space="preserve">Rodrigo Brito </t>
  </si>
  <si>
    <t xml:space="preserve">Muito material sem utilização no local. Aonde fica as caixas de material sem demarcação,  falta identificação, necessidade de manutenção no equipamento faltando calha protetiva. </t>
  </si>
  <si>
    <t>Escritório Qualidade</t>
  </si>
  <si>
    <t xml:space="preserve">Sergio de Carvalho </t>
  </si>
  <si>
    <t>Melhorar identificação nas gavetas e posições de alguns itens de trabalho, ex: grampeador grande</t>
  </si>
  <si>
    <t>Local bem organizado, e com ações de correções em andamento conforme evidências em fotos</t>
  </si>
  <si>
    <t xml:space="preserve">Solda/Dispositivos </t>
  </si>
  <si>
    <t xml:space="preserve">Melhorar a organização dos dispositivos, melhorar identificações dos dispositivos, melhorar corredor entre os dispositivos </t>
  </si>
  <si>
    <t xml:space="preserve"> Sem local definido dos dispositivos, falta de identificação, limpeza,iluminação </t>
  </si>
  <si>
    <t xml:space="preserve">Refeitório </t>
  </si>
  <si>
    <t xml:space="preserve">Apresentação do ambiente, teve êxito! Não encontrado nenhuma conformidade. </t>
  </si>
  <si>
    <t xml:space="preserve">Oque pontuado foi corrigido no momento, </t>
  </si>
  <si>
    <t>Solda chassis</t>
  </si>
  <si>
    <t xml:space="preserve">Ricardo de Oliveira </t>
  </si>
  <si>
    <t>1- elaborar kits de limpeza nas áreas de produção com o mínimo necessário para realização da limpeza.
2- elaborar um cronograma de revitalização das faixas e marcações de entrada e saída nos postos de trabalho.</t>
  </si>
  <si>
    <t xml:space="preserve">1- demarcação de entrada e saída e faixas apagadas.
2- falta de materiais necessários para execução da limpeza e organização. Ex: carrinhos hidráulico - materiais de limpeza </t>
  </si>
  <si>
    <t xml:space="preserve">Célula de solda 4 - Banjos Scania </t>
  </si>
  <si>
    <t xml:space="preserve">Gleidson Pereira Cunha </t>
  </si>
  <si>
    <t xml:space="preserve">Organização dos cabos da máquina de solda, limpeza do lado inativo da célula. </t>
  </si>
  <si>
    <t xml:space="preserve">Pendente marcação de entrada e saída de peças. Demarcar posição das embalagens e da bancada de montagem dos backs de solda. </t>
  </si>
  <si>
    <t>Linha de banjo</t>
  </si>
  <si>
    <t xml:space="preserve">Ricardo de Oliveira Santana </t>
  </si>
  <si>
    <t xml:space="preserve">1 trilho de movimentação dos carrinhos está exposto impactando diretamente na segurança dos colaboradores 
2 fios expostos no setor de acabamento 
3 falta de demarcação no piso 
4 rack de peças não conforme na metrologia sem identificação 
</t>
  </si>
  <si>
    <t xml:space="preserve">Recebimento área externa </t>
  </si>
  <si>
    <t xml:space="preserve">Job fialho </t>
  </si>
  <si>
    <t xml:space="preserve">Identificado  item atrapalhando o fluxo de passagem </t>
  </si>
  <si>
    <t>Recebimento e qualidade</t>
  </si>
  <si>
    <t>LUCIANO</t>
  </si>
  <si>
    <t>Colaborador esta alegando risco na sala quando está descarregado carretas</t>
  </si>
  <si>
    <t xml:space="preserve">Escritório Manutenção </t>
  </si>
  <si>
    <t xml:space="preserve">Marcelo Sousa </t>
  </si>
  <si>
    <t>Mudança do layout da copa.</t>
  </si>
  <si>
    <t xml:space="preserve">Foram identificado 03 conformidades .
1. Porta sem fechadura.
2. Material sobre bancada sem necessidade.
3. Melhoria na área da copa. </t>
  </si>
  <si>
    <t>RESERVATORIO</t>
  </si>
  <si>
    <t>MARCELO SOUSA</t>
  </si>
  <si>
    <t xml:space="preserve">Realizar demarcação do piso, colocar proteções na lateral das bancadas para enclausurar as fiações, identificar as bancadas com o nome do processo, implementar check list de 5s, definir cronograma de 5s diário . </t>
  </si>
  <si>
    <t>1. Demarcação do piso.
2. Bancada de inspeção com fiação exposta.
3. Identificações das bancadas.
4. Check list de 5s
5. Cronograma de 5s .</t>
  </si>
  <si>
    <t>Almoxarifado Componentes</t>
  </si>
  <si>
    <t xml:space="preserve">Breno Lamac </t>
  </si>
  <si>
    <t>O funcionário do Almoxarifado, Francisco, mostra bastante entusiasmo quando trata-se de melhoria. Sugiro uma melhoria no suporte a ele, para viabilizar as mudanças e ideias que o mesmo me indicou durante esta auditoria.</t>
  </si>
  <si>
    <t xml:space="preserve">- Forro do teto cedendo.
- Identificações do piso gastas.
- Sem cronograma de limpeza.
- Não existe uma instrução para lançamento no SAP, dependendo apenas da expertise do funcionário.
- Empilhamento dos pallets dos discos flap, um sobre o outro, podendo quebrar lixas alem de gerar riscos a segurança.
- Melhorar iluminação da área externa. </t>
  </si>
  <si>
    <t xml:space="preserve">Pátio Externo </t>
  </si>
  <si>
    <t>Fabio dos Anjos Paes</t>
  </si>
  <si>
    <t xml:space="preserve">Ação do time pra implementação do 5s no local </t>
  </si>
  <si>
    <t xml:space="preserve">4.1 Material sem utilização ( Chão )
8.5 Organização das ferramentas no local auditado.
9.6 Sem demarcação no piso;
11.8 Demarcação do piso degradada;
12.9 Não existe padrão definido no setor;
13.10 Piso com etiquetas de embalagens e materiais/ resto de paletes por todo o local;
19.16 Sem padrão definido no local ;
20.17 Sem padrão idem 19.16
24.21 Idem 19.16 
</t>
  </si>
  <si>
    <t>Estanqueidade care</t>
  </si>
  <si>
    <t xml:space="preserve">Humberto Victor </t>
  </si>
  <si>
    <t>Eliminar vazamento de goteiras no telhado.</t>
  </si>
  <si>
    <t xml:space="preserve">Estoque de componentes. </t>
  </si>
  <si>
    <t>Revitalizar as pinturas das faixas.</t>
  </si>
  <si>
    <t xml:space="preserve">Escritório ferramentaria </t>
  </si>
  <si>
    <t xml:space="preserve">Melhorar as identificação dos armários, deixar nas mesas somente o necessário. </t>
  </si>
  <si>
    <t>Portaria RH</t>
  </si>
  <si>
    <t xml:space="preserve">Marlon de Paula. </t>
  </si>
  <si>
    <t>Incluir campo “evidência verificada” (ex: sistema, documento, visual)</t>
  </si>
  <si>
    <t xml:space="preserve">1, Revitalização demarcação do piso. 
2, vazamento interno no telhado. 
</t>
  </si>
  <si>
    <t>Oficina - Ferramentaria</t>
  </si>
  <si>
    <t xml:space="preserve">Alexandre Evangelista </t>
  </si>
  <si>
    <t xml:space="preserve">Seria prudente criar uma reunião semanal com time para falar sobre 5S, fortalece do a cultura </t>
  </si>
  <si>
    <t>11.8 - foi observado fios e cabos expostos
14.11 - piso molhado a respeito do telhado
15.12 -  lâmpadas queimadas
16.13 - os aberta sem acompanhamento do time de manutenção e ferramentaria
19.16 - não foi criado o padrão da área e o padrinho
20.17 - não tem acompanhamento do padrinho pela falta de padrao</t>
  </si>
  <si>
    <t xml:space="preserve">Escritório da logística </t>
  </si>
  <si>
    <t xml:space="preserve">Instalação de tomadas de energia conforme layout das mesas. </t>
  </si>
  <si>
    <t>Banheiro com sensor ou lâmpada queimada. Falta de identificação do banheiro masculino e feminino</t>
  </si>
  <si>
    <t xml:space="preserve">Área Recreativa </t>
  </si>
  <si>
    <t>Marcelo. B</t>
  </si>
  <si>
    <t>Providenciar lixeiras, vassoura pá</t>
  </si>
  <si>
    <t xml:space="preserve">1 falta de lixeiras de descartes 
2 fiação exposta 
3 Limpeza dos vazos sanitária 
</t>
  </si>
  <si>
    <t>Protótipos</t>
  </si>
  <si>
    <t>Breno Lamac</t>
  </si>
  <si>
    <t>- Verificar utilizacao dos itens que não pertencem diretamente à engenharia. Exemplo: rolo epe, arames de solda, contentor de oleo…). Dessa forma aumentamos o espaço e reduzimos riscos de não conformidade por materiais sem utilização.</t>
  </si>
  <si>
    <t>- Cobrir as peças mb2295 para evitar acidentes;
- peças sem identificação;
- fazer as demarcações do chão;
- abrir OS para manutenção do telhado (molha quando chove )
- criar plano de limpeza da área;</t>
  </si>
  <si>
    <t xml:space="preserve">Pintura </t>
  </si>
  <si>
    <t>Reunião para melhorar a percepção de senso de organização e limpeza do setor da pintura.</t>
  </si>
  <si>
    <t>1. Fiação e mangueira expostas na área da pintura externa.
2. Material não pertencente ao posto de trabalhão.
3 . Embalagem em cima da faixa.
4. Material desnecessário no posto da gancheira.</t>
  </si>
  <si>
    <t xml:space="preserve">Escritório engenharia </t>
  </si>
  <si>
    <t xml:space="preserve">Jonathas Andrade </t>
  </si>
  <si>
    <t xml:space="preserve">Itens sobre as mesas sem local definido de armazenamento, EPI armazenados em local incorreto </t>
  </si>
  <si>
    <t>1) Os armários da área não estão em boas condições de uso
2) Identificação dos armários não estão padrão 
3) O interfone não está funcionando</t>
  </si>
  <si>
    <t>Usinagem de eixos</t>
  </si>
  <si>
    <t xml:space="preserve">Humberto </t>
  </si>
  <si>
    <t>Melhorar iluminação, área muito escura dificultando para os operadores.</t>
  </si>
  <si>
    <t>Equipamento de calibrar em manutenção, Reymond.</t>
  </si>
  <si>
    <t>Robô nba</t>
  </si>
  <si>
    <t>Implementar cronograma de limpeza.
Fios exposto sobre cabine, iluminação ruim e fora padrão definido.</t>
  </si>
  <si>
    <t xml:space="preserve">Foi pontuado durante auditoria, peças sobre a mesa , no momento o operador foi orientado e corrigido imediatamente. </t>
  </si>
  <si>
    <t>ETE</t>
  </si>
  <si>
    <t>Colocar uma bomba para jogar o cloreto.</t>
  </si>
  <si>
    <t xml:space="preserve">8.5 -&gt; mesa desorganizada;
9.5 -&gt; identificações fora de padrão;
Chão sem caída para escorrer água;
Fios expostos;
</t>
  </si>
  <si>
    <t>RH</t>
  </si>
  <si>
    <t>Anderson Melo</t>
  </si>
  <si>
    <t xml:space="preserve">Pintura da paredes e troca de tomadas. </t>
  </si>
  <si>
    <t xml:space="preserve">Ações: 
1- Realizar pintura das paredes. 
2- Realizar o conserto das tomadas, espelhos.
3- Inserir extintor na sala 
Ordem a aberta:
N° 13852
Item:16.13 / 18.15
</t>
  </si>
  <si>
    <t xml:space="preserve">Estoque de WP Estamparia </t>
  </si>
  <si>
    <t xml:space="preserve">Melhorar layout, difícil manuseio se a caixa estiver no fundo, precisa retirar todas as caixas da frente para ter acesso.
Guardando muita peça que era para enviar para outro setor.
Caixas com etiqueta amarela armazenada no estoque.
Sistema de entrada e saída peça manual, deveria ser por QR code .
Reforçar iluminação na área 
Placa com símbolo do cliente para fácil visualização, e placa de endereçamento </t>
  </si>
  <si>
    <t xml:space="preserve">5.2 dispositivo sem área demarcada, sem espaço para acessar, outros dispositivo fechando corredor.
6.3 sem documento no posto, somente uma planilha no Excel, que coloca o endereçamento das caixas.
8.5 mesa no setor sem identificação padrão 
9.6   falta de identificação da própria área,sem placa de endereçamento.
11.8 demarcação gasta
12.9   não evidênciado formulário ou procedimento padronizado.
13.10  evidênciado piso com poça de água devido ao telhado 
14.11 não existe plano de limpeza. Definido 
15.12  iluminação fraca.
17.14  não evidênciado lixeira no local.
18.15  extintor difícil de visualizar entre o corredor entre fileiras de caixa.
19.16. Não evidenciado padrão definido.
22.19. Não possui nenhum formulário para ver se o colaborador foi treinado, as informações deles são bem superficial sobre 5 S
24.21 não existe padrão 
</t>
  </si>
  <si>
    <t xml:space="preserve">Metrologia </t>
  </si>
  <si>
    <t xml:space="preserve">Baixa iluminação, sistema de refrigeração precária, teto com vários não conformidades, faltando placa de gesso.
</t>
  </si>
  <si>
    <t>Laser</t>
  </si>
  <si>
    <t xml:space="preserve">Treinar o time operacional para manter a limpeza e organização no setor. </t>
  </si>
  <si>
    <t>4.1 Evidência matérias fora de uso no posto de trabalho.
5.2 Vias de acesso obstruídas dificultando acesso as máquinas e equipamentos.
7.4 chapas nos corredores sem área definida.
8.5 Falta de organização em volta das máquinas objeto fora de utilização.
9.6 Falta identificação / Armário/ caçamba de resíduos.
10.7 Fiação das máquinas exposta.
11.8 Falta revitalização/ Demarcação.
12.9 Falta de padrão de 5s.
13.10 Vazamento de água e contaminação por pó.
14.11 Falta plano de limpeza.
15.12 Falta ventilação.
16.13 Máquina sem realiza manutenções troca dos filtros. Número (OS15182).
17.14 Falta identificação coletor de lixo e 
19.16 Falta check list de limpeza. 
20.17 Fora do padrão 5s. 
23.20 Falta de evidência de ações anteriores. 
24.21 Falta check list abrangendo a necessidade do setor</t>
  </si>
  <si>
    <t>Estoque do WIP solda</t>
  </si>
  <si>
    <t>Alan Gomes</t>
  </si>
  <si>
    <t xml:space="preserve">Embalagens não possuem identificação padrão, lixo no chão ,  luminária com defeito. Não foi evidenciado um padrão de 5S nessa área. </t>
  </si>
  <si>
    <t>Estoque de Matéria Prima</t>
  </si>
  <si>
    <t>Fiação exposta do painel elétrico, abrir chamado .
Elaborar check list de limpeza.
Providenciar lixeira para coleta seletiva 
Disponibilizar check list de controle período.</t>
  </si>
  <si>
    <t xml:space="preserve">Dobradeiras </t>
  </si>
  <si>
    <t xml:space="preserve">Sujidade da dobradeira e demarcações do piso.
Plano de limpeza 5s </t>
  </si>
  <si>
    <t>Almoxarifado de componentes</t>
  </si>
  <si>
    <t xml:space="preserve">Alan Gomes </t>
  </si>
  <si>
    <t xml:space="preserve">Foram identificadas diversas lâmpadas queimadas dentro do setor. A iluminação a noite na área externa precisa ser melhorada. </t>
  </si>
  <si>
    <t>Reservatorio</t>
  </si>
  <si>
    <t xml:space="preserve">Job Eduardo Fialho </t>
  </si>
  <si>
    <t xml:space="preserve">Oficina de manutenção </t>
  </si>
  <si>
    <t xml:space="preserve">LUCIANO NASCIMENTO </t>
  </si>
  <si>
    <t>Demarcar armario de ferramenta mecânica e eletrica de uso comum e material para conserto externo</t>
  </si>
  <si>
    <t xml:space="preserve">Recebimento-Logística </t>
  </si>
  <si>
    <t xml:space="preserve">Falta padronizar as etiquetas de identificação </t>
  </si>
  <si>
    <t>Não tem plano de limpeza
Folha padrão 5s</t>
  </si>
  <si>
    <t>Pintura</t>
  </si>
  <si>
    <t>Ricardo Santana</t>
  </si>
  <si>
    <t>- ⁠Extintores proximo a data de manutenção, março de 2026.</t>
  </si>
  <si>
    <t>- Cabos expostos
- Armários bagunçados e sem identificação 
- ⁠Elaborar check list de limpeza 
- ⁠Lampadas queimadas e piscantes.
- ⁠Pontos de vazamento de ar.</t>
  </si>
  <si>
    <t xml:space="preserve">Dobradeira </t>
  </si>
  <si>
    <t>Melhorar layout não tem demarcação  das embalagens no setor, entrada e saída estão apagados.</t>
  </si>
  <si>
    <t xml:space="preserve">Falta padrão no setor, e não tem plano de limpeza.
</t>
  </si>
  <si>
    <t xml:space="preserve">Logística/Expedição </t>
  </si>
  <si>
    <t xml:space="preserve">SOLDA CHASSIS </t>
  </si>
  <si>
    <t xml:space="preserve">Treinar Líder e Empilhadores quando ao manuseio de peça fora área do estoque, muitas caixas espalhados pelo setor </t>
  </si>
  <si>
    <t xml:space="preserve">4.1 várias caixas de produtos diversos estacados entre a máquina POWERMIG E A SUMIG.
7.4 Caixas  Bloqueando corredor área de dispositivo de solda, e entrada e saída de peça na máquina NBA impossibilitando a passagem.
8.5 Peças, papéis, lixas usadas espalhados no desempeno. Mostruário de peças sujas e fezes de pombo.
9.6 identificação do BOX 38 empilhadeira derrubou, não colocaram de volta..
10.7 fiação exposta.
11.8 Demarcação em mal estado gastas 
12.9 Muito Material espalhados fora do Estoque.
14.11 Não existe plano definido de limpeza.
15.12 Iluminação fraca não está adequado.
17.14 lixeira no local sem demarcação e nem identificação.
19.16  Check list em branco, Padrinho na área não está anotando.
20.17  Fora da época de auditoria, esqueci padronização.
23.20 Pendências da Auditoria passada não foi corrigido.
25.22 Sem evidência de melhorias </t>
  </si>
  <si>
    <t>Sala ferramentaria</t>
  </si>
  <si>
    <t>10.7 fios exposto 
12.9 e 19.16 padrão
15.12 janela quebrada
16.13 fechadura quebrada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</si>
</sst>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0" fontId="0" fillId="0" borderId="0" xfId="0" applyAlignment="1">
      <alignment horizontal="left"/>
    </xf>
    <xf numFmtId="22" fontId="0" fillId="0" borderId="0" xfId="0" applyNumberFormat="1" applyAlignment="1">
      <alignment horizontal="left"/>
    </xf>
    <xf numFmtId="49" fontId="0" fillId="0" borderId="0" xfId="0" applyNumberFormat="1" applyAlignment="1">
      <alignment wrapText="1"/>
    </xf>
    <xf numFmtId="49" fontId="0" fillId="0" borderId="0" xfId="0" quotePrefix="1" applyNumberFormat="1" applyAlignment="1">
      <alignment wrapText="1"/>
    </xf>
    <xf numFmtId="0" fontId="0" fillId="0" borderId="0" xfId="0" applyAlignment="1">
      <alignment wrapText="1"/>
    </xf>
  </cellXfs>
  <cellStyles count="1">
    <cellStyle name="Normal" xfId="0" builtinId="0"/>
  </cellStyles>
  <dxfs count="33">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G65" totalsRowShown="0">
  <autoFilter ref="A1:AG65" xr:uid="{00000000-0009-0000-0100-000001000000}"/>
  <tableColumns count="33">
    <tableColumn id="1" xr3:uid="{00000000-0010-0000-0000-000001000000}" name="Id" dataDxfId="32">
      <extLst>
        <ext xmlns:xlmsforms="http://schemas.microsoft.com/office/spreadsheetml/2023/msForms" uri="{FCC71383-01E1-4257-9335-427F07BE8D7F}">
          <xlmsforms:question id="id"/>
        </ext>
      </extLst>
    </tableColumn>
    <tableColumn id="2" xr3:uid="{00000000-0010-0000-0000-000002000000}" name="Hora de início" dataDxfId="31">
      <extLst>
        <ext xmlns:xlmsforms="http://schemas.microsoft.com/office/spreadsheetml/2023/msForms" uri="{FCC71383-01E1-4257-9335-427F07BE8D7F}">
          <xlmsforms:question id="startDate"/>
        </ext>
      </extLst>
    </tableColumn>
    <tableColumn id="3" xr3:uid="{00000000-0010-0000-0000-000003000000}" name="Hora de conclusão" dataDxfId="30">
      <extLst>
        <ext xmlns:xlmsforms="http://schemas.microsoft.com/office/spreadsheetml/2023/msForms" uri="{FCC71383-01E1-4257-9335-427F07BE8D7F}">
          <xlmsforms:question id="submitDate"/>
        </ext>
      </extLst>
    </tableColumn>
    <tableColumn id="4" xr3:uid="{00000000-0010-0000-0000-000004000000}" name="Email" dataDxfId="29">
      <extLst>
        <ext xmlns:xlmsforms="http://schemas.microsoft.com/office/spreadsheetml/2023/msForms" uri="{FCC71383-01E1-4257-9335-427F07BE8D7F}">
          <xlmsforms:question id="responder"/>
        </ext>
      </extLst>
    </tableColumn>
    <tableColumn id="5" xr3:uid="{00000000-0010-0000-0000-000005000000}" name="Nome" dataDxfId="28">
      <extLst>
        <ext xmlns:xlmsforms="http://schemas.microsoft.com/office/spreadsheetml/2023/msForms" uri="{FCC71383-01E1-4257-9335-427F07BE8D7F}">
          <xlmsforms:question id="responderName"/>
        </ext>
      </extLst>
    </tableColumn>
    <tableColumn id="6" xr3:uid="{00000000-0010-0000-0000-000006000000}" name="Unidade Delga" dataDxfId="27">
      <extLst>
        <ext xmlns:xlmsforms="http://schemas.microsoft.com/office/spreadsheetml/2023/msForms" uri="{FCC71383-01E1-4257-9335-427F07BE8D7F}">
          <xlmsforms:question id="r45bc4dc14db7443f862e35c47573d304"/>
        </ext>
      </extLst>
    </tableColumn>
    <tableColumn id="7" xr3:uid="{00000000-0010-0000-0000-000007000000}" name="Qual é o local que está auditando?" dataDxfId="26">
      <extLst>
        <ext xmlns:xlmsforms="http://schemas.microsoft.com/office/spreadsheetml/2023/msForms" uri="{FCC71383-01E1-4257-9335-427F07BE8D7F}">
          <xlmsforms:question id="r8d4524ec9ba74a5ab5a6f3aee3c41bcf"/>
        </ext>
      </extLst>
    </tableColumn>
    <tableColumn id="8" xr3:uid="{00000000-0010-0000-0000-000008000000}" name="Identificação do Auditor " dataDxfId="25">
      <extLst>
        <ext xmlns:xlmsforms="http://schemas.microsoft.com/office/spreadsheetml/2023/msForms" uri="{FCC71383-01E1-4257-9335-427F07BE8D7F}">
          <xlmsforms:question id="rd916cabe388d4f229d49dda5cd674641"/>
        </ext>
      </extLst>
    </tableColumn>
    <tableColumn id="9" xr3:uid="{00000000-0010-0000-0000-000009000000}" name="1- Existem materiais ou objetos desnecessários ou sem uso no posto de trabalho?.Materiais e objetos" dataDxfId="24">
      <extLst>
        <ext xmlns:xlmsforms="http://schemas.microsoft.com/office/spreadsheetml/2023/msForms" uri="{FCC71383-01E1-4257-9335-427F07BE8D7F}">
          <xlmsforms:question id="r7440f001467b4a18b55028f80419dacd"/>
        </ext>
      </extLst>
    </tableColumn>
    <tableColumn id="10" xr3:uid="{00000000-0010-0000-0000-00000A000000}" name="2 - As ferramentas / equipamentos tem fácil acesso?.Acessibilidade em ferramentas ou Equipamentos" dataDxfId="23">
      <extLst>
        <ext xmlns:xlmsforms="http://schemas.microsoft.com/office/spreadsheetml/2023/msForms" uri="{FCC71383-01E1-4257-9335-427F07BE8D7F}">
          <xlmsforms:question id="ra945d1e527134ac485809790e31552ea"/>
        </ext>
      </extLst>
    </tableColumn>
    <tableColumn id="11" xr3:uid="{00000000-0010-0000-0000-00000B000000}" name="3 - Os documentos necessários, estão disponíveis no posto de trabalho ? Estão preenchidos corretamente e legíveis ?.Documentos do posto de trabalho" dataDxfId="22">
      <extLst>
        <ext xmlns:xlmsforms="http://schemas.microsoft.com/office/spreadsheetml/2023/msForms" uri="{FCC71383-01E1-4257-9335-427F07BE8D7F}">
          <xlmsforms:question id="r565f98f05cb148caa1c03f1d7b7de34a"/>
        </ext>
      </extLst>
    </tableColumn>
    <tableColumn id="12" xr3:uid="{00000000-0010-0000-0000-00000C000000}" name="4 - Existem objetos que oferecem risco ou atrapalhando  a passagem.Acesso e riscos." dataDxfId="21">
      <extLst>
        <ext xmlns:xlmsforms="http://schemas.microsoft.com/office/spreadsheetml/2023/msForms" uri="{FCC71383-01E1-4257-9335-427F07BE8D7F}">
          <xlmsforms:question id="rc73bceab33f6494f80500d86b3d2047e"/>
        </ext>
      </extLst>
    </tableColumn>
    <tableColumn id="13" xr3:uid="{00000000-0010-0000-0000-00000D000000}" name="5 - Armários, mesas, maquinas, ferramentas, dispositivos estão organizados?.Organização /  Localização" dataDxfId="20">
      <extLst>
        <ext xmlns:xlmsforms="http://schemas.microsoft.com/office/spreadsheetml/2023/msForms" uri="{FCC71383-01E1-4257-9335-427F07BE8D7F}">
          <xlmsforms:question id="r3f7eecab5d6f4a8fbcc2e04c9ffc7d89"/>
        </ext>
      </extLst>
    </tableColumn>
    <tableColumn id="14" xr3:uid="{00000000-0010-0000-0000-00000E000000}" name="6 - As identificações estão adequadas no posto de trabalho? Os armários, maquinas, locais estão identificados?.Identificação" dataDxfId="19">
      <extLst>
        <ext xmlns:xlmsforms="http://schemas.microsoft.com/office/spreadsheetml/2023/msForms" uri="{FCC71383-01E1-4257-9335-427F07BE8D7F}">
          <xlmsforms:question id="ref56371859fe4b00a26859c8890ee5a2"/>
        </ext>
      </extLst>
    </tableColumn>
    <tableColumn id="15" xr3:uid="{00000000-0010-0000-0000-00000F000000}" name="7 - Existe fios / cabos expostos?.Fios / Cabos" dataDxfId="18">
      <extLst>
        <ext xmlns:xlmsforms="http://schemas.microsoft.com/office/spreadsheetml/2023/msForms" uri="{FCC71383-01E1-4257-9335-427F07BE8D7F}">
          <xlmsforms:question id="r95e5ccdf58a74ba8a0e0923bb2b22562"/>
        </ext>
      </extLst>
    </tableColumn>
    <tableColumn id="16" xr3:uid="{00000000-0010-0000-0000-000010000000}" name="8 - Existem demarcações no piso  e estão em bom estado?.Demarcações  do piso" dataDxfId="17">
      <extLst>
        <ext xmlns:xlmsforms="http://schemas.microsoft.com/office/spreadsheetml/2023/msForms" uri="{FCC71383-01E1-4257-9335-427F07BE8D7F}">
          <xlmsforms:question id="r53cb59d19e4142cbbd6c7806747a8b1f"/>
        </ext>
      </extLst>
    </tableColumn>
    <tableColumn id="17" xr3:uid="{00000000-0010-0000-0000-000011000000}" name="9 - Os   padrões definidos, estão sendo seguidos?_x000a_.Padrões estabelecidos" dataDxfId="16">
      <extLst>
        <ext xmlns:xlmsforms="http://schemas.microsoft.com/office/spreadsheetml/2023/msForms" uri="{FCC71383-01E1-4257-9335-427F07BE8D7F}">
          <xlmsforms:question id="r56d8370982f04ea19201d93911a0452f"/>
        </ext>
      </extLst>
    </tableColumn>
    <tableColumn id="18" xr3:uid="{00000000-0010-0000-0000-000012000000}" name="10 - Os pisos são mantidos limpos e sem resíduos, água e óleo?.Limpeza  geral" dataDxfId="15">
      <extLst>
        <ext xmlns:xlmsforms="http://schemas.microsoft.com/office/spreadsheetml/2023/msForms" uri="{FCC71383-01E1-4257-9335-427F07BE8D7F}">
          <xlmsforms:question id="raeaa5acb186e47659eacc3ee474e61a0"/>
        </ext>
      </extLst>
    </tableColumn>
    <tableColumn id="19" xr3:uid="{00000000-0010-0000-0000-000013000000}" name="11 - Existe um plano de limpeza definido, está sendo seguido?.Plano de limpeza" dataDxfId="14">
      <extLst>
        <ext xmlns:xlmsforms="http://schemas.microsoft.com/office/spreadsheetml/2023/msForms" uri="{FCC71383-01E1-4257-9335-427F07BE8D7F}">
          <xlmsforms:question id="rf608e264f1bc4b06b36b63dc2fd96e44"/>
        </ext>
      </extLst>
    </tableColumn>
    <tableColumn id="20" xr3:uid="{00000000-0010-0000-0000-000014000000}" name="12 - Ambiente adequado/ iluminação?.Ambiente" dataDxfId="13">
      <extLst>
        <ext xmlns:xlmsforms="http://schemas.microsoft.com/office/spreadsheetml/2023/msForms" uri="{FCC71383-01E1-4257-9335-427F07BE8D7F}">
          <xlmsforms:question id="r233d815889bd432ca255ff568b3b4d32"/>
        </ext>
      </extLst>
    </tableColumn>
    <tableColumn id="21" xr3:uid="{00000000-0010-0000-0000-000015000000}" name="13 - Existe algum item de manutenção predial e elétrica sem tratativa?.Manutenção" dataDxfId="12">
      <extLst>
        <ext xmlns:xlmsforms="http://schemas.microsoft.com/office/spreadsheetml/2023/msForms" uri="{FCC71383-01E1-4257-9335-427F07BE8D7F}">
          <xlmsforms:question id="r978037feafc34adebbda1657ccb12f4a"/>
        </ext>
      </extLst>
    </tableColumn>
    <tableColumn id="22" xr3:uid="{00000000-0010-0000-0000-000016000000}" name="14 - Lixeiras estão disponíveis, os resíduos são descartados na lixeira correta, existe indicação  nas lixeiras ?.Coleta seletiva" dataDxfId="11">
      <extLst>
        <ext xmlns:xlmsforms="http://schemas.microsoft.com/office/spreadsheetml/2023/msForms" uri="{FCC71383-01E1-4257-9335-427F07BE8D7F}">
          <xlmsforms:question id="r45ea167e1708408991d3d7a11dbcb128"/>
        </ext>
      </extLst>
    </tableColumn>
    <tableColumn id="23" xr3:uid="{00000000-0010-0000-0000-000017000000}" name="15 - Os extintores e demais itens de segurança  estão em áreas de fácil acesso e aptos para uso? EPI's são usados corretamente?.Itens de segurança" dataDxfId="10">
      <extLst>
        <ext xmlns:xlmsforms="http://schemas.microsoft.com/office/spreadsheetml/2023/msForms" uri="{FCC71383-01E1-4257-9335-427F07BE8D7F}">
          <xlmsforms:question id="r93cb77c66b764b14bde40cd69ddb20ef"/>
        </ext>
      </extLst>
    </tableColumn>
    <tableColumn id="24" xr3:uid="{00000000-0010-0000-0000-000018000000}" name="16 - Existe um padrão + check list de controle periódico e está sendo seguido?.Padrão subárea" dataDxfId="9">
      <extLst>
        <ext xmlns:xlmsforms="http://schemas.microsoft.com/office/spreadsheetml/2023/msForms" uri="{FCC71383-01E1-4257-9335-427F07BE8D7F}">
          <xlmsforms:question id="r5fe8aadad22b48ce90ec2f0987a9975d"/>
        </ext>
      </extLst>
    </tableColumn>
    <tableColumn id="25" xr3:uid="{00000000-0010-0000-0000-000019000000}" name="17 - Percepção da padronização fora da época da auditoria.Aderência da padronização" dataDxfId="8">
      <extLst>
        <ext xmlns:xlmsforms="http://schemas.microsoft.com/office/spreadsheetml/2023/msForms" uri="{FCC71383-01E1-4257-9335-427F07BE8D7F}">
          <xlmsforms:question id="ra1bb8edb305249c6b4a0b6f5b83bf9b8"/>
        </ext>
      </extLst>
    </tableColumn>
    <tableColumn id="26" xr3:uid="{00000000-0010-0000-0000-00001A000000}" name="18 - Existe padronização dos documentos e são seguidos? Ex: FTP, plano de controle, instruções..Documentos do  posto de trabalho" dataDxfId="7">
      <extLst>
        <ext xmlns:xlmsforms="http://schemas.microsoft.com/office/spreadsheetml/2023/msForms" uri="{FCC71383-01E1-4257-9335-427F07BE8D7F}">
          <xlmsforms:question id="r773f5af1a67244ed92f3b995bcd3d432"/>
        </ext>
      </extLst>
    </tableColumn>
    <tableColumn id="27" xr3:uid="{00000000-0010-0000-0000-00001B000000}" name="19 - Os colaboradores estão capacitados, possuem conhecimento sobre 5S? (entrevistar um membro).Treinamento" dataDxfId="6">
      <extLst>
        <ext xmlns:xlmsforms="http://schemas.microsoft.com/office/spreadsheetml/2023/msForms" uri="{FCC71383-01E1-4257-9335-427F07BE8D7F}">
          <xlmsforms:question id="r72189a69677e4697b5d0e1c26dd40c02"/>
        </ext>
      </extLst>
    </tableColumn>
    <tableColumn id="28" xr3:uid="{00000000-0010-0000-0000-00001C000000}" name="20 - As ações das auditorias anteriores foram concluídas?.Controle das ações" dataDxfId="5">
      <extLst>
        <ext xmlns:xlmsforms="http://schemas.microsoft.com/office/spreadsheetml/2023/msForms" uri="{FCC71383-01E1-4257-9335-427F07BE8D7F}">
          <xlmsforms:question id="r5ef143b5d58843dbb844b04faacbdcd3"/>
        </ext>
      </extLst>
    </tableColumn>
    <tableColumn id="29" xr3:uid="{00000000-0010-0000-0000-00001D000000}" name="21 - O check list padrão desenvolvido abrange o necessário? Foi atualizado?.Procedimentos" dataDxfId="4">
      <extLst>
        <ext xmlns:xlmsforms="http://schemas.microsoft.com/office/spreadsheetml/2023/msForms" uri="{FCC71383-01E1-4257-9335-427F07BE8D7F}">
          <xlmsforms:question id="r9d779576073346c5af6763c3fd1fcccd"/>
        </ext>
      </extLst>
    </tableColumn>
    <tableColumn id="30" xr3:uid="{00000000-0010-0000-0000-00001E000000}" name="22 - Existe percepção e evidencia de melhoria continua no posto?.Melhoria" dataDxfId="3">
      <extLst>
        <ext xmlns:xlmsforms="http://schemas.microsoft.com/office/spreadsheetml/2023/msForms" uri="{FCC71383-01E1-4257-9335-427F07BE8D7F}">
          <xlmsforms:question id="rffccb81b71274d39b3491575021e1e56"/>
        </ext>
      </extLst>
    </tableColumn>
    <tableColumn id="31" xr3:uid="{00000000-0010-0000-0000-00001F000000}" name="Sugestões de Melhorias" dataDxfId="2">
      <extLst>
        <ext xmlns:xlmsforms="http://schemas.microsoft.com/office/spreadsheetml/2023/msForms" uri="{FCC71383-01E1-4257-9335-427F07BE8D7F}">
          <xlmsforms:question id="rc86040bbdff74f30922c09a79888a6cb"/>
        </ext>
      </extLst>
    </tableColumn>
    <tableColumn id="32" xr3:uid="{00000000-0010-0000-0000-000020000000}" name="Observações" dataDxfId="1">
      <extLst>
        <ext xmlns:xlmsforms="http://schemas.microsoft.com/office/spreadsheetml/2023/msForms" uri="{FCC71383-01E1-4257-9335-427F07BE8D7F}">
          <xlmsforms:question id="rf8bd1ef69ff64020823be00a26b67083"/>
        </ext>
      </extLst>
    </tableColumn>
    <tableColumn id="33" xr3:uid="{32909B3D-EFD4-4FBE-AD6A-8942E020B486}" name="QTD. Ruim" dataDxfId="0">
      <calculatedColumnFormula>COUNTIF(OfficeForms.Table[[#This Row],[1- Existem materiais ou objetos desnecessários ou sem uso no posto de trabalho?.Materiais e objetos]:[22 - Existe percepção e evidencia de melhoria continua no posto?.Melhoria]],"Ruim")</calculatedColumnFormula>
    </tableColumn>
  </tableColumns>
  <tableStyleInfo name="TableStyleMedium2" showFirstColumn="0" showLastColumn="0" showRowStripes="1" showColumnStripes="0"/>
  <extLst>
    <ext xmlns:xlmsforms="http://schemas.microsoft.com/office/spreadsheetml/2023/msForms" uri="{839C7E11-91E4-4DBD-9C5D-0DEA604FA9AC}">
      <xlmsforms:msForm id="cWmCJGJStkGJuUVYZxycVPVvqz9nKDpGkU0RTiAypVtUOEUwRkNEOE9UTzNOQVJSQU9YWDdQTDhZSS4u" isFormConnected="1" maxResponseId="86" latestEventMarker="239">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r45bc4dc14db7443f862e35c47573d304</xlmsforms:syncedQuestionId>
        <xlmsforms:syncedQuestionId>r8d4524ec9ba74a5ab5a6f3aee3c41bcf</xlmsforms:syncedQuestionId>
        <xlmsforms:syncedQuestionId>rd916cabe388d4f229d49dda5cd674641</xlmsforms:syncedQuestionId>
        <xlmsforms:syncedQuestionId>r7440f001467b4a18b55028f80419dacd</xlmsforms:syncedQuestionId>
        <xlmsforms:syncedQuestionId>ra945d1e527134ac485809790e31552ea</xlmsforms:syncedQuestionId>
        <xlmsforms:syncedQuestionId>r565f98f05cb148caa1c03f1d7b7de34a</xlmsforms:syncedQuestionId>
        <xlmsforms:syncedQuestionId>rc73bceab33f6494f80500d86b3d2047e</xlmsforms:syncedQuestionId>
        <xlmsforms:syncedQuestionId>r3f7eecab5d6f4a8fbcc2e04c9ffc7d89</xlmsforms:syncedQuestionId>
        <xlmsforms:syncedQuestionId>ref56371859fe4b00a26859c8890ee5a2</xlmsforms:syncedQuestionId>
        <xlmsforms:syncedQuestionId>r95e5ccdf58a74ba8a0e0923bb2b22562</xlmsforms:syncedQuestionId>
        <xlmsforms:syncedQuestionId>r53cb59d19e4142cbbd6c7806747a8b1f</xlmsforms:syncedQuestionId>
        <xlmsforms:syncedQuestionId>r56d8370982f04ea19201d93911a0452f</xlmsforms:syncedQuestionId>
        <xlmsforms:syncedQuestionId>raeaa5acb186e47659eacc3ee474e61a0</xlmsforms:syncedQuestionId>
        <xlmsforms:syncedQuestionId>rf608e264f1bc4b06b36b63dc2fd96e44</xlmsforms:syncedQuestionId>
        <xlmsforms:syncedQuestionId>r233d815889bd432ca255ff568b3b4d32</xlmsforms:syncedQuestionId>
        <xlmsforms:syncedQuestionId>r978037feafc34adebbda1657ccb12f4a</xlmsforms:syncedQuestionId>
        <xlmsforms:syncedQuestionId>r45ea167e1708408991d3d7a11dbcb128</xlmsforms:syncedQuestionId>
        <xlmsforms:syncedQuestionId>r93cb77c66b764b14bde40cd69ddb20ef</xlmsforms:syncedQuestionId>
        <xlmsforms:syncedQuestionId>r5fe8aadad22b48ce90ec2f0987a9975d</xlmsforms:syncedQuestionId>
        <xlmsforms:syncedQuestionId>ra1bb8edb305249c6b4a0b6f5b83bf9b8</xlmsforms:syncedQuestionId>
        <xlmsforms:syncedQuestionId>r773f5af1a67244ed92f3b995bcd3d432</xlmsforms:syncedQuestionId>
        <xlmsforms:syncedQuestionId>r72189a69677e4697b5d0e1c26dd40c02</xlmsforms:syncedQuestionId>
        <xlmsforms:syncedQuestionId>r5ef143b5d58843dbb844b04faacbdcd3</xlmsforms:syncedQuestionId>
        <xlmsforms:syncedQuestionId>r9d779576073346c5af6763c3fd1fcccd</xlmsforms:syncedQuestionId>
        <xlmsforms:syncedQuestionId>rffccb81b71274d39b3491575021e1e56</xlmsforms:syncedQuestionId>
        <xlmsforms:syncedQuestionId>rc86040bbdff74f30922c09a79888a6cb</xlmsforms:syncedQuestionId>
        <xlmsforms:syncedQuestionId>rf8bd1ef69ff64020823be00a26b67083</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5"/>
  <sheetViews>
    <sheetView tabSelected="1" topLeftCell="D64" zoomScale="85" zoomScaleNormal="85" workbookViewId="0">
      <selection activeCell="I65" sqref="I65"/>
    </sheetView>
  </sheetViews>
  <sheetFormatPr defaultRowHeight="14.45"/>
  <cols>
    <col min="1" max="1" width="5" style="2" bestFit="1" customWidth="1"/>
    <col min="2" max="2" width="17" style="2" bestFit="1" customWidth="1"/>
    <col min="3" max="3" width="19.5703125" style="2" bestFit="1" customWidth="1"/>
    <col min="4" max="4" width="18.140625" customWidth="1"/>
    <col min="5" max="5" width="17.140625" customWidth="1"/>
    <col min="6" max="6" width="21.140625" bestFit="1" customWidth="1"/>
    <col min="7" max="7" width="34.28515625" bestFit="1" customWidth="1"/>
    <col min="8" max="8" width="28.42578125" bestFit="1" customWidth="1"/>
    <col min="9" max="9" width="95.5703125" customWidth="1"/>
    <col min="10" max="10" width="96" customWidth="1"/>
    <col min="11" max="11" width="141.140625" customWidth="1"/>
    <col min="12" max="12" width="79.85546875" customWidth="1"/>
    <col min="13" max="13" width="96.85546875" customWidth="1"/>
    <col min="14" max="14" width="116.140625" customWidth="1"/>
    <col min="15" max="15" width="43.140625" customWidth="1"/>
    <col min="16" max="16" width="75.85546875" customWidth="1"/>
    <col min="17" max="17" width="68.5703125" customWidth="1"/>
    <col min="18" max="18" width="73.85546875" customWidth="1"/>
    <col min="19" max="19" width="75.85546875" customWidth="1"/>
    <col min="20" max="20" width="47.5703125" customWidth="1"/>
    <col min="21" max="21" width="79.140625" customWidth="1"/>
    <col min="22" max="22" width="114.5703125" customWidth="1"/>
    <col min="23" max="23" width="136.42578125" customWidth="1"/>
    <col min="24" max="24" width="88.140625" customWidth="1"/>
    <col min="25" max="25" width="80.5703125" customWidth="1"/>
    <col min="26" max="26" width="122" customWidth="1"/>
    <col min="27" max="27" width="107.28515625" customWidth="1"/>
    <col min="28" max="28" width="72.28515625" customWidth="1"/>
    <col min="29" max="29" width="86.140625" customWidth="1"/>
    <col min="30" max="30" width="72" bestFit="1" customWidth="1"/>
    <col min="31" max="31" width="64.7109375" bestFit="1" customWidth="1"/>
    <col min="32" max="32" width="103.140625" bestFit="1" customWidth="1"/>
    <col min="33" max="33" width="60.85546875" customWidth="1"/>
  </cols>
  <sheetData>
    <row r="1" spans="1:33">
      <c r="A1" s="2" t="s">
        <v>0</v>
      </c>
      <c r="B1" s="2" t="s">
        <v>1</v>
      </c>
      <c r="C1" s="2"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ht="15">
      <c r="A2" s="2">
        <v>23</v>
      </c>
      <c r="B2" s="3">
        <v>46027.471631944441</v>
      </c>
      <c r="C2" s="3">
        <v>46027.472824074073</v>
      </c>
      <c r="D2" t="s">
        <v>33</v>
      </c>
      <c r="F2" t="s">
        <v>34</v>
      </c>
      <c r="G2" t="s">
        <v>35</v>
      </c>
      <c r="H2" t="s">
        <v>36</v>
      </c>
      <c r="I2" t="s">
        <v>37</v>
      </c>
      <c r="J2" t="s">
        <v>38</v>
      </c>
      <c r="K2" t="s">
        <v>39</v>
      </c>
      <c r="L2" t="s">
        <v>37</v>
      </c>
      <c r="M2" t="s">
        <v>38</v>
      </c>
      <c r="N2" t="s">
        <v>39</v>
      </c>
      <c r="O2" t="s">
        <v>38</v>
      </c>
      <c r="P2" t="s">
        <v>39</v>
      </c>
      <c r="Q2" t="s">
        <v>38</v>
      </c>
      <c r="R2" t="s">
        <v>39</v>
      </c>
      <c r="S2" t="s">
        <v>38</v>
      </c>
      <c r="T2" t="s">
        <v>38</v>
      </c>
      <c r="U2" t="s">
        <v>39</v>
      </c>
      <c r="V2" t="s">
        <v>37</v>
      </c>
      <c r="W2" t="s">
        <v>38</v>
      </c>
      <c r="X2" t="s">
        <v>37</v>
      </c>
      <c r="Y2" t="s">
        <v>39</v>
      </c>
      <c r="Z2" t="s">
        <v>39</v>
      </c>
      <c r="AA2" t="s">
        <v>39</v>
      </c>
      <c r="AB2" t="s">
        <v>38</v>
      </c>
      <c r="AC2" t="s">
        <v>38</v>
      </c>
      <c r="AD2" t="s">
        <v>39</v>
      </c>
      <c r="AE2" t="s">
        <v>40</v>
      </c>
      <c r="AF2" t="s">
        <v>41</v>
      </c>
      <c r="AG2" s="6">
        <f>COUNTIF(OfficeForms.Table[[#This Row],[1- Existem materiais ou objetos desnecessários ou sem uso no posto de trabalho?.Materiais e objetos]:[22 - Existe percepção e evidencia de melhoria continua no posto?.Melhoria]],"Ruim")</f>
        <v>4</v>
      </c>
    </row>
    <row r="3" spans="1:33">
      <c r="A3" s="2">
        <v>24</v>
      </c>
      <c r="B3" s="3">
        <v>46027.490613425929</v>
      </c>
      <c r="C3" s="3">
        <v>46027.491412037038</v>
      </c>
      <c r="D3" t="s">
        <v>33</v>
      </c>
      <c r="F3" t="s">
        <v>34</v>
      </c>
      <c r="G3" t="s">
        <v>42</v>
      </c>
      <c r="H3" t="s">
        <v>43</v>
      </c>
      <c r="I3" t="s">
        <v>37</v>
      </c>
      <c r="J3" t="s">
        <v>38</v>
      </c>
      <c r="K3" t="s">
        <v>38</v>
      </c>
      <c r="L3" t="s">
        <v>39</v>
      </c>
      <c r="M3" t="s">
        <v>39</v>
      </c>
      <c r="N3" t="s">
        <v>37</v>
      </c>
      <c r="O3" t="s">
        <v>39</v>
      </c>
      <c r="P3" t="s">
        <v>39</v>
      </c>
      <c r="Q3" t="s">
        <v>44</v>
      </c>
      <c r="R3" t="s">
        <v>38</v>
      </c>
      <c r="S3" t="s">
        <v>39</v>
      </c>
      <c r="T3" t="s">
        <v>44</v>
      </c>
      <c r="U3" t="s">
        <v>39</v>
      </c>
      <c r="V3" t="s">
        <v>44</v>
      </c>
      <c r="W3" t="s">
        <v>39</v>
      </c>
      <c r="X3" t="s">
        <v>45</v>
      </c>
      <c r="Y3" t="s">
        <v>39</v>
      </c>
      <c r="Z3" t="s">
        <v>37</v>
      </c>
      <c r="AA3" t="s">
        <v>39</v>
      </c>
      <c r="AB3" t="s">
        <v>45</v>
      </c>
      <c r="AC3" t="s">
        <v>39</v>
      </c>
      <c r="AD3" t="s">
        <v>38</v>
      </c>
      <c r="AE3" t="s">
        <v>41</v>
      </c>
      <c r="AF3" t="s">
        <v>41</v>
      </c>
      <c r="AG3">
        <f>COUNTIF(OfficeForms.Table[[#This Row],[1- Existem materiais ou objetos desnecessários ou sem uso no posto de trabalho?.Materiais e objetos]:[22 - Existe percepção e evidencia de melhoria continua no posto?.Melhoria]],"Ruim")</f>
        <v>3</v>
      </c>
    </row>
    <row r="4" spans="1:33">
      <c r="A4" s="2">
        <v>25</v>
      </c>
      <c r="B4" s="3">
        <v>46027.651747685188</v>
      </c>
      <c r="C4" s="3">
        <v>46027.69358796296</v>
      </c>
      <c r="D4" t="s">
        <v>33</v>
      </c>
      <c r="F4" t="s">
        <v>34</v>
      </c>
      <c r="G4" t="s">
        <v>35</v>
      </c>
      <c r="H4" t="s">
        <v>46</v>
      </c>
      <c r="I4" t="s">
        <v>38</v>
      </c>
      <c r="J4" t="s">
        <v>38</v>
      </c>
      <c r="K4" t="s">
        <v>37</v>
      </c>
      <c r="L4" t="s">
        <v>39</v>
      </c>
      <c r="M4" t="s">
        <v>38</v>
      </c>
      <c r="N4" t="s">
        <v>38</v>
      </c>
      <c r="O4" t="s">
        <v>37</v>
      </c>
      <c r="P4" t="s">
        <v>38</v>
      </c>
      <c r="Q4" t="s">
        <v>39</v>
      </c>
      <c r="R4" t="s">
        <v>37</v>
      </c>
      <c r="S4" t="s">
        <v>37</v>
      </c>
      <c r="T4" t="s">
        <v>38</v>
      </c>
      <c r="U4" t="s">
        <v>37</v>
      </c>
      <c r="V4" t="s">
        <v>38</v>
      </c>
      <c r="W4" t="s">
        <v>38</v>
      </c>
      <c r="X4" t="s">
        <v>38</v>
      </c>
      <c r="Y4" t="s">
        <v>38</v>
      </c>
      <c r="Z4" t="s">
        <v>38</v>
      </c>
      <c r="AA4" t="s">
        <v>38</v>
      </c>
      <c r="AB4" t="s">
        <v>38</v>
      </c>
      <c r="AC4" t="s">
        <v>39</v>
      </c>
      <c r="AD4" t="s">
        <v>38</v>
      </c>
      <c r="AE4" t="s">
        <v>47</v>
      </c>
      <c r="AG4">
        <f>COUNTIF(OfficeForms.Table[[#This Row],[1- Existem materiais ou objetos desnecessários ou sem uso no posto de trabalho?.Materiais e objetos]:[22 - Existe percepção e evidencia de melhoria continua no posto?.Melhoria]],"Ruim")</f>
        <v>5</v>
      </c>
    </row>
    <row r="5" spans="1:33">
      <c r="A5" s="2">
        <v>26</v>
      </c>
      <c r="B5" s="3">
        <v>46027.71770833333</v>
      </c>
      <c r="C5" s="3">
        <v>46027.723645833335</v>
      </c>
      <c r="D5" t="s">
        <v>33</v>
      </c>
      <c r="F5" t="s">
        <v>34</v>
      </c>
      <c r="G5" t="s">
        <v>48</v>
      </c>
      <c r="H5" t="s">
        <v>49</v>
      </c>
      <c r="I5" t="s">
        <v>39</v>
      </c>
      <c r="J5" t="s">
        <v>39</v>
      </c>
      <c r="K5" t="s">
        <v>38</v>
      </c>
      <c r="L5" t="s">
        <v>39</v>
      </c>
      <c r="M5" t="s">
        <v>39</v>
      </c>
      <c r="N5" t="s">
        <v>39</v>
      </c>
      <c r="O5" t="s">
        <v>39</v>
      </c>
      <c r="P5" t="s">
        <v>39</v>
      </c>
      <c r="Q5" t="s">
        <v>39</v>
      </c>
      <c r="R5" t="s">
        <v>39</v>
      </c>
      <c r="S5" t="s">
        <v>39</v>
      </c>
      <c r="T5" t="s">
        <v>39</v>
      </c>
      <c r="U5" t="s">
        <v>39</v>
      </c>
      <c r="V5" t="s">
        <v>38</v>
      </c>
      <c r="W5" t="s">
        <v>39</v>
      </c>
      <c r="X5" t="s">
        <v>39</v>
      </c>
      <c r="Y5" t="s">
        <v>39</v>
      </c>
      <c r="Z5" t="s">
        <v>38</v>
      </c>
      <c r="AA5" t="s">
        <v>39</v>
      </c>
      <c r="AB5" t="s">
        <v>38</v>
      </c>
      <c r="AC5" t="s">
        <v>39</v>
      </c>
      <c r="AD5" t="s">
        <v>39</v>
      </c>
      <c r="AE5" t="s">
        <v>50</v>
      </c>
      <c r="AG5">
        <f>COUNTIF(OfficeForms.Table[[#This Row],[1- Existem materiais ou objetos desnecessários ou sem uso no posto de trabalho?.Materiais e objetos]:[22 - Existe percepção e evidencia de melhoria continua no posto?.Melhoria]],"Ruim")</f>
        <v>0</v>
      </c>
    </row>
    <row r="6" spans="1:33">
      <c r="A6" s="2">
        <v>27</v>
      </c>
      <c r="B6" s="3">
        <v>46027.740451388891</v>
      </c>
      <c r="C6" s="3">
        <v>46027.751956018517</v>
      </c>
      <c r="D6" t="s">
        <v>33</v>
      </c>
      <c r="F6" t="s">
        <v>34</v>
      </c>
      <c r="G6" t="s">
        <v>51</v>
      </c>
      <c r="H6" t="s">
        <v>52</v>
      </c>
      <c r="I6" t="s">
        <v>39</v>
      </c>
      <c r="J6" t="s">
        <v>39</v>
      </c>
      <c r="K6" t="s">
        <v>39</v>
      </c>
      <c r="L6" t="s">
        <v>39</v>
      </c>
      <c r="M6" t="s">
        <v>38</v>
      </c>
      <c r="N6" t="s">
        <v>38</v>
      </c>
      <c r="O6" t="s">
        <v>38</v>
      </c>
      <c r="P6" t="s">
        <v>39</v>
      </c>
      <c r="Q6" t="s">
        <v>39</v>
      </c>
      <c r="R6" t="s">
        <v>38</v>
      </c>
      <c r="S6" t="s">
        <v>38</v>
      </c>
      <c r="T6" t="s">
        <v>38</v>
      </c>
      <c r="U6" t="s">
        <v>38</v>
      </c>
      <c r="V6" t="s">
        <v>39</v>
      </c>
      <c r="W6" t="s">
        <v>39</v>
      </c>
      <c r="X6" t="s">
        <v>37</v>
      </c>
      <c r="Y6" t="s">
        <v>38</v>
      </c>
      <c r="Z6" t="s">
        <v>39</v>
      </c>
      <c r="AA6" t="s">
        <v>39</v>
      </c>
      <c r="AB6" t="s">
        <v>39</v>
      </c>
      <c r="AC6" t="s">
        <v>39</v>
      </c>
      <c r="AD6" t="s">
        <v>39</v>
      </c>
      <c r="AE6" t="s">
        <v>53</v>
      </c>
      <c r="AF6" t="s">
        <v>54</v>
      </c>
      <c r="AG6">
        <f>COUNTIF(OfficeForms.Table[[#This Row],[1- Existem materiais ou objetos desnecessários ou sem uso no posto de trabalho?.Materiais e objetos]:[22 - Existe percepção e evidencia de melhoria continua no posto?.Melhoria]],"Ruim")</f>
        <v>1</v>
      </c>
    </row>
    <row r="7" spans="1:33" ht="13.5" customHeight="1">
      <c r="A7" s="2">
        <v>28</v>
      </c>
      <c r="B7" s="3">
        <v>46027.771331018521</v>
      </c>
      <c r="C7" s="3">
        <v>46027.773842592593</v>
      </c>
      <c r="D7" t="s">
        <v>33</v>
      </c>
      <c r="F7" t="s">
        <v>34</v>
      </c>
      <c r="G7" t="s">
        <v>55</v>
      </c>
      <c r="H7" t="s">
        <v>56</v>
      </c>
      <c r="I7" t="s">
        <v>44</v>
      </c>
      <c r="J7" t="s">
        <v>44</v>
      </c>
      <c r="K7" t="s">
        <v>44</v>
      </c>
      <c r="L7" t="s">
        <v>39</v>
      </c>
      <c r="N7" t="s">
        <v>39</v>
      </c>
      <c r="O7" t="s">
        <v>39</v>
      </c>
      <c r="P7" t="s">
        <v>39</v>
      </c>
      <c r="Q7" t="s">
        <v>39</v>
      </c>
      <c r="S7" t="s">
        <v>39</v>
      </c>
      <c r="T7" t="s">
        <v>39</v>
      </c>
      <c r="U7" t="s">
        <v>39</v>
      </c>
      <c r="V7" t="s">
        <v>39</v>
      </c>
      <c r="W7" t="s">
        <v>44</v>
      </c>
      <c r="X7" t="s">
        <v>39</v>
      </c>
      <c r="Y7" t="s">
        <v>39</v>
      </c>
      <c r="Z7" t="s">
        <v>39</v>
      </c>
      <c r="AA7" t="s">
        <v>39</v>
      </c>
      <c r="AB7" t="s">
        <v>39</v>
      </c>
      <c r="AC7" t="s">
        <v>39</v>
      </c>
      <c r="AD7" t="s">
        <v>39</v>
      </c>
      <c r="AG7">
        <f>COUNTIF(OfficeForms.Table[[#This Row],[1- Existem materiais ou objetos desnecessários ou sem uso no posto de trabalho?.Materiais e objetos]:[22 - Existe percepção e evidencia de melhoria continua no posto?.Melhoria]],"Ruim")</f>
        <v>0</v>
      </c>
    </row>
    <row r="8" spans="1:33">
      <c r="A8" s="2">
        <v>29</v>
      </c>
      <c r="B8" s="3">
        <v>46027.775000000001</v>
      </c>
      <c r="C8" s="3">
        <v>46027.777106481481</v>
      </c>
      <c r="D8" t="s">
        <v>33</v>
      </c>
      <c r="F8" t="s">
        <v>34</v>
      </c>
      <c r="G8" t="s">
        <v>57</v>
      </c>
      <c r="H8" t="s">
        <v>52</v>
      </c>
      <c r="I8" t="s">
        <v>44</v>
      </c>
      <c r="J8" t="s">
        <v>45</v>
      </c>
      <c r="K8" t="s">
        <v>39</v>
      </c>
      <c r="L8" t="s">
        <v>45</v>
      </c>
      <c r="M8" t="s">
        <v>39</v>
      </c>
      <c r="N8" t="s">
        <v>39</v>
      </c>
      <c r="O8" t="s">
        <v>39</v>
      </c>
      <c r="P8" t="s">
        <v>45</v>
      </c>
      <c r="Q8" t="s">
        <v>39</v>
      </c>
      <c r="R8" t="s">
        <v>44</v>
      </c>
      <c r="S8" t="s">
        <v>44</v>
      </c>
      <c r="T8" t="s">
        <v>44</v>
      </c>
      <c r="U8" t="s">
        <v>45</v>
      </c>
      <c r="V8" t="s">
        <v>44</v>
      </c>
      <c r="W8" t="s">
        <v>45</v>
      </c>
      <c r="X8" t="s">
        <v>44</v>
      </c>
      <c r="Y8" t="s">
        <v>44</v>
      </c>
      <c r="Z8" t="s">
        <v>44</v>
      </c>
      <c r="AA8" t="s">
        <v>44</v>
      </c>
      <c r="AB8" t="s">
        <v>44</v>
      </c>
      <c r="AC8" t="s">
        <v>45</v>
      </c>
      <c r="AD8" t="s">
        <v>39</v>
      </c>
      <c r="AG8">
        <f>COUNTIF(OfficeForms.Table[[#This Row],[1- Existem materiais ou objetos desnecessários ou sem uso no posto de trabalho?.Materiais e objetos]:[22 - Existe percepção e evidencia de melhoria continua no posto?.Melhoria]],"Ruim")</f>
        <v>0</v>
      </c>
    </row>
    <row r="9" spans="1:33">
      <c r="A9" s="2">
        <v>30</v>
      </c>
      <c r="B9" s="3">
        <v>46028.603692129633</v>
      </c>
      <c r="C9" s="3">
        <v>46028.606770833336</v>
      </c>
      <c r="D9" t="s">
        <v>33</v>
      </c>
      <c r="F9" t="s">
        <v>34</v>
      </c>
      <c r="G9" t="s">
        <v>58</v>
      </c>
      <c r="H9" t="s">
        <v>59</v>
      </c>
      <c r="I9" t="s">
        <v>39</v>
      </c>
      <c r="J9" t="s">
        <v>44</v>
      </c>
      <c r="K9" t="s">
        <v>45</v>
      </c>
      <c r="L9" t="s">
        <v>45</v>
      </c>
      <c r="M9" t="s">
        <v>44</v>
      </c>
      <c r="N9" t="s">
        <v>44</v>
      </c>
      <c r="O9" t="s">
        <v>45</v>
      </c>
      <c r="P9" t="s">
        <v>45</v>
      </c>
      <c r="Q9" t="s">
        <v>45</v>
      </c>
      <c r="R9" t="s">
        <v>37</v>
      </c>
      <c r="S9" t="s">
        <v>37</v>
      </c>
      <c r="T9" t="s">
        <v>39</v>
      </c>
      <c r="U9" t="s">
        <v>45</v>
      </c>
      <c r="V9" t="s">
        <v>45</v>
      </c>
      <c r="W9" t="s">
        <v>45</v>
      </c>
      <c r="X9" t="s">
        <v>45</v>
      </c>
      <c r="Y9" t="s">
        <v>39</v>
      </c>
      <c r="Z9" t="s">
        <v>45</v>
      </c>
      <c r="AA9" t="s">
        <v>44</v>
      </c>
      <c r="AB9" t="s">
        <v>45</v>
      </c>
      <c r="AC9" t="s">
        <v>45</v>
      </c>
      <c r="AD9" t="s">
        <v>45</v>
      </c>
      <c r="AG9">
        <f>COUNTIF(OfficeForms.Table[[#This Row],[1- Existem materiais ou objetos desnecessários ou sem uso no posto de trabalho?.Materiais e objetos]:[22 - Existe percepção e evidencia de melhoria continua no posto?.Melhoria]],"Ruim")</f>
        <v>2</v>
      </c>
    </row>
    <row r="10" spans="1:33">
      <c r="A10" s="2">
        <v>31</v>
      </c>
      <c r="B10" s="3">
        <v>46028.611342592594</v>
      </c>
      <c r="C10" s="3">
        <v>46028.614062499997</v>
      </c>
      <c r="D10" t="s">
        <v>33</v>
      </c>
      <c r="F10" t="s">
        <v>34</v>
      </c>
      <c r="G10" t="s">
        <v>60</v>
      </c>
      <c r="H10" t="s">
        <v>59</v>
      </c>
      <c r="I10" t="s">
        <v>38</v>
      </c>
      <c r="J10" t="s">
        <v>45</v>
      </c>
      <c r="K10" t="s">
        <v>45</v>
      </c>
      <c r="L10" t="s">
        <v>38</v>
      </c>
      <c r="M10" t="s">
        <v>39</v>
      </c>
      <c r="N10" t="s">
        <v>45</v>
      </c>
      <c r="O10" t="s">
        <v>37</v>
      </c>
      <c r="P10" t="s">
        <v>45</v>
      </c>
      <c r="Q10" t="s">
        <v>45</v>
      </c>
      <c r="R10" t="s">
        <v>38</v>
      </c>
      <c r="S10" t="s">
        <v>45</v>
      </c>
      <c r="T10" t="s">
        <v>44</v>
      </c>
      <c r="U10" t="s">
        <v>38</v>
      </c>
      <c r="V10" t="s">
        <v>37</v>
      </c>
      <c r="W10" t="s">
        <v>44</v>
      </c>
      <c r="X10" t="s">
        <v>45</v>
      </c>
      <c r="Y10" t="s">
        <v>39</v>
      </c>
      <c r="Z10" t="s">
        <v>45</v>
      </c>
      <c r="AA10" t="s">
        <v>45</v>
      </c>
      <c r="AB10" t="s">
        <v>45</v>
      </c>
      <c r="AC10" t="s">
        <v>45</v>
      </c>
      <c r="AD10" t="s">
        <v>45</v>
      </c>
      <c r="AE10" t="s">
        <v>61</v>
      </c>
      <c r="AG10">
        <f>COUNTIF(OfficeForms.Table[[#This Row],[1- Existem materiais ou objetos desnecessários ou sem uso no posto de trabalho?.Materiais e objetos]:[22 - Existe percepção e evidencia de melhoria continua no posto?.Melhoria]],"Ruim")</f>
        <v>2</v>
      </c>
    </row>
    <row r="11" spans="1:33">
      <c r="A11" s="2">
        <v>32</v>
      </c>
      <c r="B11" s="3">
        <v>46028.657094907408</v>
      </c>
      <c r="C11" s="3">
        <v>46028.657719907409</v>
      </c>
      <c r="D11" t="s">
        <v>33</v>
      </c>
      <c r="F11" t="s">
        <v>34</v>
      </c>
      <c r="G11" t="s">
        <v>62</v>
      </c>
      <c r="H11" t="s">
        <v>36</v>
      </c>
      <c r="I11" t="s">
        <v>38</v>
      </c>
      <c r="J11" t="s">
        <v>38</v>
      </c>
      <c r="K11" t="s">
        <v>37</v>
      </c>
      <c r="L11" t="s">
        <v>38</v>
      </c>
      <c r="M11" t="s">
        <v>39</v>
      </c>
      <c r="N11" t="s">
        <v>38</v>
      </c>
      <c r="O11" t="s">
        <v>38</v>
      </c>
      <c r="P11" t="s">
        <v>38</v>
      </c>
      <c r="Q11" t="s">
        <v>38</v>
      </c>
      <c r="R11" t="s">
        <v>38</v>
      </c>
      <c r="S11" t="s">
        <v>38</v>
      </c>
      <c r="T11" t="s">
        <v>38</v>
      </c>
      <c r="U11" t="s">
        <v>38</v>
      </c>
      <c r="V11" t="s">
        <v>38</v>
      </c>
      <c r="W11" t="s">
        <v>38</v>
      </c>
      <c r="X11" t="s">
        <v>38</v>
      </c>
      <c r="Y11" t="s">
        <v>38</v>
      </c>
      <c r="Z11" t="s">
        <v>38</v>
      </c>
      <c r="AA11" t="s">
        <v>39</v>
      </c>
      <c r="AB11" t="s">
        <v>37</v>
      </c>
      <c r="AC11" t="s">
        <v>39</v>
      </c>
      <c r="AD11" t="s">
        <v>38</v>
      </c>
      <c r="AG11">
        <f>COUNTIF(OfficeForms.Table[[#This Row],[1- Existem materiais ou objetos desnecessários ou sem uso no posto de trabalho?.Materiais e objetos]:[22 - Existe percepção e evidencia de melhoria continua no posto?.Melhoria]],"Ruim")</f>
        <v>2</v>
      </c>
    </row>
    <row r="12" spans="1:33">
      <c r="A12" s="2">
        <v>33</v>
      </c>
      <c r="B12" s="3">
        <v>46028.661851851903</v>
      </c>
      <c r="C12" s="3">
        <v>46028.662361111099</v>
      </c>
      <c r="D12" s="1" t="s">
        <v>63</v>
      </c>
      <c r="E12" s="1"/>
      <c r="F12" s="1" t="s">
        <v>34</v>
      </c>
      <c r="G12" s="1" t="s">
        <v>64</v>
      </c>
      <c r="H12" s="1" t="s">
        <v>65</v>
      </c>
      <c r="I12" s="1" t="s">
        <v>38</v>
      </c>
      <c r="J12" s="1" t="s">
        <v>45</v>
      </c>
      <c r="K12" s="1" t="s">
        <v>38</v>
      </c>
      <c r="L12" s="1" t="s">
        <v>39</v>
      </c>
      <c r="M12" s="1" t="s">
        <v>39</v>
      </c>
      <c r="N12" s="1" t="s">
        <v>39</v>
      </c>
      <c r="O12" s="1" t="s">
        <v>38</v>
      </c>
      <c r="P12" s="1" t="s">
        <v>38</v>
      </c>
      <c r="Q12" s="1" t="s">
        <v>39</v>
      </c>
      <c r="R12" s="1" t="s">
        <v>39</v>
      </c>
      <c r="S12" s="1" t="s">
        <v>38</v>
      </c>
      <c r="T12" s="1" t="s">
        <v>39</v>
      </c>
      <c r="U12" s="1" t="s">
        <v>38</v>
      </c>
      <c r="V12" s="1" t="s">
        <v>39</v>
      </c>
      <c r="W12" s="1" t="s">
        <v>39</v>
      </c>
      <c r="X12" s="1" t="s">
        <v>37</v>
      </c>
      <c r="Y12" s="1" t="s">
        <v>38</v>
      </c>
      <c r="Z12" s="1" t="s">
        <v>37</v>
      </c>
      <c r="AA12" s="1" t="s">
        <v>39</v>
      </c>
      <c r="AB12" s="1" t="s">
        <v>39</v>
      </c>
      <c r="AC12" s="1" t="s">
        <v>38</v>
      </c>
      <c r="AD12" s="1" t="s">
        <v>38</v>
      </c>
      <c r="AE12" s="1"/>
      <c r="AF12" s="1"/>
      <c r="AG12">
        <f>COUNTIF(OfficeForms.Table[[#This Row],[1- Existem materiais ou objetos desnecessários ou sem uso no posto de trabalho?.Materiais e objetos]:[22 - Existe percepção e evidencia de melhoria continua no posto?.Melhoria]],"Ruim")</f>
        <v>2</v>
      </c>
    </row>
    <row r="13" spans="1:33">
      <c r="A13" s="2">
        <v>34</v>
      </c>
      <c r="B13" s="3">
        <v>46028.6714236111</v>
      </c>
      <c r="C13" s="3">
        <v>46028.671898148197</v>
      </c>
      <c r="D13" s="1" t="s">
        <v>63</v>
      </c>
      <c r="E13" s="1"/>
      <c r="F13" s="1" t="s">
        <v>34</v>
      </c>
      <c r="G13" s="1" t="s">
        <v>64</v>
      </c>
      <c r="H13" s="1" t="s">
        <v>65</v>
      </c>
      <c r="I13" s="1" t="s">
        <v>39</v>
      </c>
      <c r="J13" s="1" t="s">
        <v>37</v>
      </c>
      <c r="K13" s="1" t="s">
        <v>38</v>
      </c>
      <c r="L13" s="1" t="s">
        <v>39</v>
      </c>
      <c r="M13" s="1" t="s">
        <v>38</v>
      </c>
      <c r="N13" s="1" t="s">
        <v>37</v>
      </c>
      <c r="O13" s="1" t="s">
        <v>38</v>
      </c>
      <c r="P13" s="1" t="s">
        <v>38</v>
      </c>
      <c r="Q13" s="1" t="s">
        <v>37</v>
      </c>
      <c r="R13" s="1" t="s">
        <v>39</v>
      </c>
      <c r="S13" s="1" t="s">
        <v>38</v>
      </c>
      <c r="T13" s="1" t="s">
        <v>37</v>
      </c>
      <c r="U13" s="1" t="s">
        <v>39</v>
      </c>
      <c r="V13" s="1" t="s">
        <v>39</v>
      </c>
      <c r="W13" s="1" t="s">
        <v>39</v>
      </c>
      <c r="X13" s="1" t="s">
        <v>39</v>
      </c>
      <c r="Y13" s="1" t="s">
        <v>39</v>
      </c>
      <c r="Z13" s="1" t="s">
        <v>38</v>
      </c>
      <c r="AA13" s="1" t="s">
        <v>39</v>
      </c>
      <c r="AB13" s="1" t="s">
        <v>38</v>
      </c>
      <c r="AC13" s="1" t="s">
        <v>39</v>
      </c>
      <c r="AD13" s="1" t="s">
        <v>39</v>
      </c>
      <c r="AE13" s="1"/>
      <c r="AF13" s="1"/>
      <c r="AG13">
        <f>COUNTIF(OfficeForms.Table[[#This Row],[1- Existem materiais ou objetos desnecessários ou sem uso no posto de trabalho?.Materiais e objetos]:[22 - Existe percepção e evidencia de melhoria continua no posto?.Melhoria]],"Ruim")</f>
        <v>4</v>
      </c>
    </row>
    <row r="14" spans="1:33">
      <c r="A14" s="2">
        <v>35</v>
      </c>
      <c r="B14" s="3">
        <v>46028.683078703703</v>
      </c>
      <c r="C14" s="3">
        <v>46028.683611111097</v>
      </c>
      <c r="D14" s="1" t="s">
        <v>63</v>
      </c>
      <c r="E14" s="1"/>
      <c r="F14" s="1" t="s">
        <v>34</v>
      </c>
      <c r="G14" s="1" t="s">
        <v>64</v>
      </c>
      <c r="H14" s="1" t="s">
        <v>65</v>
      </c>
      <c r="I14" s="1" t="s">
        <v>39</v>
      </c>
      <c r="J14" s="1" t="s">
        <v>39</v>
      </c>
      <c r="K14" s="1" t="s">
        <v>39</v>
      </c>
      <c r="L14" s="1" t="s">
        <v>39</v>
      </c>
      <c r="M14" s="1" t="s">
        <v>39</v>
      </c>
      <c r="N14" s="1" t="s">
        <v>39</v>
      </c>
      <c r="O14" s="1" t="s">
        <v>39</v>
      </c>
      <c r="P14" s="1" t="s">
        <v>39</v>
      </c>
      <c r="Q14" s="1" t="s">
        <v>39</v>
      </c>
      <c r="R14" s="1" t="s">
        <v>39</v>
      </c>
      <c r="S14" s="1" t="s">
        <v>39</v>
      </c>
      <c r="T14" s="1" t="s">
        <v>39</v>
      </c>
      <c r="U14" s="1" t="s">
        <v>39</v>
      </c>
      <c r="V14" s="1" t="s">
        <v>39</v>
      </c>
      <c r="W14" s="1" t="s">
        <v>39</v>
      </c>
      <c r="X14" s="1" t="s">
        <v>39</v>
      </c>
      <c r="Y14" s="1" t="s">
        <v>39</v>
      </c>
      <c r="Z14" s="1" t="s">
        <v>39</v>
      </c>
      <c r="AA14" s="1" t="s">
        <v>39</v>
      </c>
      <c r="AB14" s="1" t="s">
        <v>39</v>
      </c>
      <c r="AC14" s="1" t="s">
        <v>39</v>
      </c>
      <c r="AD14" s="1" t="s">
        <v>39</v>
      </c>
      <c r="AE14" s="1"/>
      <c r="AF14" s="1"/>
      <c r="AG14">
        <f>COUNTIF(OfficeForms.Table[[#This Row],[1- Existem materiais ou objetos desnecessários ou sem uso no posto de trabalho?.Materiais e objetos]:[22 - Existe percepção e evidencia de melhoria continua no posto?.Melhoria]],"Ruim")</f>
        <v>0</v>
      </c>
    </row>
    <row r="15" spans="1:33">
      <c r="A15" s="2">
        <v>36</v>
      </c>
      <c r="B15" s="3">
        <v>46028.686886574098</v>
      </c>
      <c r="C15" s="3">
        <v>46028.687337962998</v>
      </c>
      <c r="D15" s="1" t="s">
        <v>63</v>
      </c>
      <c r="E15" s="1"/>
      <c r="F15" s="1" t="s">
        <v>34</v>
      </c>
      <c r="G15" s="1" t="s">
        <v>64</v>
      </c>
      <c r="H15" s="1" t="s">
        <v>65</v>
      </c>
      <c r="I15" s="1" t="s">
        <v>39</v>
      </c>
      <c r="J15" s="1" t="s">
        <v>39</v>
      </c>
      <c r="K15" s="1" t="s">
        <v>39</v>
      </c>
      <c r="L15" s="1" t="s">
        <v>39</v>
      </c>
      <c r="M15" s="1" t="s">
        <v>39</v>
      </c>
      <c r="N15" s="1" t="s">
        <v>39</v>
      </c>
      <c r="O15" s="1" t="s">
        <v>39</v>
      </c>
      <c r="P15" s="1" t="s">
        <v>39</v>
      </c>
      <c r="Q15" s="1" t="s">
        <v>39</v>
      </c>
      <c r="R15" s="1" t="s">
        <v>39</v>
      </c>
      <c r="S15" s="1" t="s">
        <v>39</v>
      </c>
      <c r="T15" s="1" t="s">
        <v>39</v>
      </c>
      <c r="U15" s="1" t="s">
        <v>39</v>
      </c>
      <c r="V15" s="1" t="s">
        <v>39</v>
      </c>
      <c r="W15" s="1" t="s">
        <v>39</v>
      </c>
      <c r="X15" s="1" t="s">
        <v>39</v>
      </c>
      <c r="Y15" s="1" t="s">
        <v>39</v>
      </c>
      <c r="Z15" s="1" t="s">
        <v>39</v>
      </c>
      <c r="AA15" s="1" t="s">
        <v>39</v>
      </c>
      <c r="AB15" s="1" t="s">
        <v>39</v>
      </c>
      <c r="AC15" s="1" t="s">
        <v>39</v>
      </c>
      <c r="AD15" s="1" t="s">
        <v>39</v>
      </c>
      <c r="AE15" s="1"/>
      <c r="AF15" s="1"/>
      <c r="AG15">
        <f>COUNTIF(OfficeForms.Table[[#This Row],[1- Existem materiais ou objetos desnecessários ou sem uso no posto de trabalho?.Materiais e objetos]:[22 - Existe percepção e evidencia de melhoria continua no posto?.Melhoria]],"Ruim")</f>
        <v>0</v>
      </c>
    </row>
    <row r="16" spans="1:33" ht="72">
      <c r="A16" s="2" t="e" cm="1">
        <f t="array" aca="1" ref="A16" ca="1">-ui</f>
        <v>#NAME?</v>
      </c>
      <c r="B16" s="3">
        <v>46034.474571759303</v>
      </c>
      <c r="C16" s="3">
        <v>46034.486782407403</v>
      </c>
      <c r="D16" s="1" t="s">
        <v>63</v>
      </c>
      <c r="E16" s="1"/>
      <c r="F16" s="1" t="s">
        <v>34</v>
      </c>
      <c r="G16" s="1" t="s">
        <v>66</v>
      </c>
      <c r="H16" s="1" t="s">
        <v>67</v>
      </c>
      <c r="I16" s="1" t="s">
        <v>39</v>
      </c>
      <c r="J16" s="1" t="s">
        <v>39</v>
      </c>
      <c r="K16" s="1" t="s">
        <v>45</v>
      </c>
      <c r="L16" s="1" t="s">
        <v>44</v>
      </c>
      <c r="M16" s="1" t="s">
        <v>39</v>
      </c>
      <c r="N16" s="1" t="s">
        <v>39</v>
      </c>
      <c r="O16" s="1" t="s">
        <v>39</v>
      </c>
      <c r="P16" s="1" t="s">
        <v>45</v>
      </c>
      <c r="Q16" s="1" t="s">
        <v>39</v>
      </c>
      <c r="R16" s="1" t="s">
        <v>39</v>
      </c>
      <c r="S16" s="1" t="s">
        <v>39</v>
      </c>
      <c r="T16" s="1" t="s">
        <v>38</v>
      </c>
      <c r="U16" s="1" t="s">
        <v>39</v>
      </c>
      <c r="V16" s="1" t="s">
        <v>37</v>
      </c>
      <c r="W16" s="1" t="s">
        <v>45</v>
      </c>
      <c r="X16" s="1" t="s">
        <v>39</v>
      </c>
      <c r="Y16" s="1" t="s">
        <v>39</v>
      </c>
      <c r="Z16" s="1" t="s">
        <v>45</v>
      </c>
      <c r="AA16" s="1" t="s">
        <v>39</v>
      </c>
      <c r="AB16" s="1" t="s">
        <v>39</v>
      </c>
      <c r="AC16" s="1" t="s">
        <v>39</v>
      </c>
      <c r="AD16" s="1" t="s">
        <v>39</v>
      </c>
      <c r="AE16" s="4" t="s">
        <v>68</v>
      </c>
      <c r="AF16" s="4" t="s">
        <v>69</v>
      </c>
      <c r="AG16">
        <f>COUNTIF(OfficeForms.Table[[#This Row],[1- Existem materiais ou objetos desnecessários ou sem uso no posto de trabalho?.Materiais e objetos]:[22 - Existe percepção e evidencia de melhoria continua no posto?.Melhoria]],"Ruim")</f>
        <v>1</v>
      </c>
    </row>
    <row r="17" spans="1:33" ht="86.45">
      <c r="A17" s="2">
        <v>38</v>
      </c>
      <c r="B17" s="3">
        <v>46034.560787037</v>
      </c>
      <c r="C17" s="3">
        <v>46034.6860185185</v>
      </c>
      <c r="D17" s="1" t="s">
        <v>63</v>
      </c>
      <c r="E17" s="1"/>
      <c r="F17" s="1" t="s">
        <v>34</v>
      </c>
      <c r="G17" s="1" t="s">
        <v>70</v>
      </c>
      <c r="H17" s="1" t="s">
        <v>71</v>
      </c>
      <c r="I17" s="1" t="s">
        <v>37</v>
      </c>
      <c r="J17" s="1" t="s">
        <v>37</v>
      </c>
      <c r="K17" s="1" t="s">
        <v>39</v>
      </c>
      <c r="L17" s="1" t="s">
        <v>37</v>
      </c>
      <c r="M17" s="1" t="s">
        <v>37</v>
      </c>
      <c r="N17" s="1" t="s">
        <v>37</v>
      </c>
      <c r="O17" s="1" t="s">
        <v>37</v>
      </c>
      <c r="P17" s="1" t="s">
        <v>37</v>
      </c>
      <c r="Q17" s="1" t="s">
        <v>37</v>
      </c>
      <c r="R17" s="1" t="s">
        <v>39</v>
      </c>
      <c r="S17" s="1" t="s">
        <v>37</v>
      </c>
      <c r="T17" s="1" t="s">
        <v>38</v>
      </c>
      <c r="U17" s="1" t="s">
        <v>38</v>
      </c>
      <c r="V17" s="1" t="s">
        <v>39</v>
      </c>
      <c r="W17" s="1"/>
      <c r="X17" s="1" t="s">
        <v>39</v>
      </c>
      <c r="Y17" s="1" t="s">
        <v>37</v>
      </c>
      <c r="Z17" s="1" t="s">
        <v>39</v>
      </c>
      <c r="AA17" s="1" t="s">
        <v>39</v>
      </c>
      <c r="AB17" s="1" t="s">
        <v>37</v>
      </c>
      <c r="AC17" s="1" t="s">
        <v>37</v>
      </c>
      <c r="AD17" s="1" t="s">
        <v>37</v>
      </c>
      <c r="AE17" s="4" t="s">
        <v>72</v>
      </c>
      <c r="AF17" s="1"/>
      <c r="AG17">
        <f>COUNTIF(OfficeForms.Table[[#This Row],[1- Existem materiais ou objetos desnecessários ou sem uso no posto de trabalho?.Materiais e objetos]:[22 - Existe percepção e evidencia de melhoria continua no posto?.Melhoria]],"Ruim")</f>
        <v>13</v>
      </c>
    </row>
    <row r="18" spans="1:33" ht="216">
      <c r="A18" s="2">
        <v>39</v>
      </c>
      <c r="B18" s="3">
        <v>46035.482094907398</v>
      </c>
      <c r="C18" s="3">
        <v>46035.499409722201</v>
      </c>
      <c r="D18" s="1" t="s">
        <v>63</v>
      </c>
      <c r="E18" s="1"/>
      <c r="F18" s="1" t="s">
        <v>34</v>
      </c>
      <c r="G18" s="1" t="s">
        <v>73</v>
      </c>
      <c r="H18" s="1" t="s">
        <v>74</v>
      </c>
      <c r="I18" s="1" t="s">
        <v>37</v>
      </c>
      <c r="J18" s="1" t="s">
        <v>45</v>
      </c>
      <c r="K18" s="1" t="s">
        <v>39</v>
      </c>
      <c r="L18" s="1" t="s">
        <v>37</v>
      </c>
      <c r="M18" s="1" t="s">
        <v>37</v>
      </c>
      <c r="N18" s="1" t="s">
        <v>37</v>
      </c>
      <c r="O18" s="1" t="s">
        <v>45</v>
      </c>
      <c r="P18" s="1" t="s">
        <v>37</v>
      </c>
      <c r="Q18" s="1" t="s">
        <v>37</v>
      </c>
      <c r="R18" s="1" t="s">
        <v>37</v>
      </c>
      <c r="S18" s="1" t="s">
        <v>37</v>
      </c>
      <c r="T18" s="1" t="s">
        <v>37</v>
      </c>
      <c r="U18" s="1" t="s">
        <v>45</v>
      </c>
      <c r="V18" s="1" t="s">
        <v>37</v>
      </c>
      <c r="W18" s="1" t="s">
        <v>45</v>
      </c>
      <c r="X18" s="1" t="s">
        <v>37</v>
      </c>
      <c r="Y18" s="1" t="s">
        <v>37</v>
      </c>
      <c r="Z18" s="1" t="s">
        <v>39</v>
      </c>
      <c r="AA18" s="1" t="s">
        <v>39</v>
      </c>
      <c r="AB18" s="1" t="s">
        <v>45</v>
      </c>
      <c r="AC18" s="1" t="s">
        <v>37</v>
      </c>
      <c r="AD18" s="1" t="s">
        <v>37</v>
      </c>
      <c r="AE18" s="4" t="s">
        <v>75</v>
      </c>
      <c r="AF18" s="4" t="s">
        <v>76</v>
      </c>
      <c r="AG18">
        <f>COUNTIF(OfficeForms.Table[[#This Row],[1- Existem materiais ou objetos desnecessários ou sem uso no posto de trabalho?.Materiais e objetos]:[22 - Existe percepção e evidencia de melhoria continua no posto?.Melhoria]],"Ruim")</f>
        <v>14</v>
      </c>
    </row>
    <row r="19" spans="1:33" ht="129.6">
      <c r="A19" s="2">
        <v>40</v>
      </c>
      <c r="B19" s="3">
        <v>46041.893761574102</v>
      </c>
      <c r="C19" s="3">
        <v>46041.905729166698</v>
      </c>
      <c r="D19" s="1" t="s">
        <v>63</v>
      </c>
      <c r="E19" s="1"/>
      <c r="F19" s="1" t="s">
        <v>34</v>
      </c>
      <c r="G19" s="1" t="s">
        <v>77</v>
      </c>
      <c r="H19" s="1" t="s">
        <v>78</v>
      </c>
      <c r="I19" s="1" t="s">
        <v>38</v>
      </c>
      <c r="J19" s="1" t="s">
        <v>39</v>
      </c>
      <c r="K19" s="1" t="s">
        <v>39</v>
      </c>
      <c r="L19" s="1" t="s">
        <v>39</v>
      </c>
      <c r="M19" s="1" t="s">
        <v>37</v>
      </c>
      <c r="N19" s="1" t="s">
        <v>39</v>
      </c>
      <c r="O19" s="1" t="s">
        <v>39</v>
      </c>
      <c r="P19" s="1" t="s">
        <v>39</v>
      </c>
      <c r="Q19" s="1" t="s">
        <v>39</v>
      </c>
      <c r="R19" s="1" t="s">
        <v>38</v>
      </c>
      <c r="S19" s="1" t="s">
        <v>45</v>
      </c>
      <c r="T19" s="1" t="s">
        <v>37</v>
      </c>
      <c r="U19" s="1" t="s">
        <v>37</v>
      </c>
      <c r="V19" s="1" t="s">
        <v>39</v>
      </c>
      <c r="W19" s="1" t="s">
        <v>39</v>
      </c>
      <c r="X19" s="1" t="s">
        <v>39</v>
      </c>
      <c r="Y19" s="1"/>
      <c r="Z19" s="1" t="s">
        <v>39</v>
      </c>
      <c r="AA19" s="1" t="s">
        <v>39</v>
      </c>
      <c r="AB19" s="1" t="s">
        <v>39</v>
      </c>
      <c r="AC19" s="1" t="s">
        <v>39</v>
      </c>
      <c r="AD19" s="1" t="s">
        <v>39</v>
      </c>
      <c r="AE19" s="4" t="s">
        <v>79</v>
      </c>
      <c r="AF19" s="4" t="s">
        <v>80</v>
      </c>
      <c r="AG19">
        <f>COUNTIF(OfficeForms.Table[[#This Row],[1- Existem materiais ou objetos desnecessários ou sem uso no posto de trabalho?.Materiais e objetos]:[22 - Existe percepção e evidencia de melhoria continua no posto?.Melhoria]],"Ruim")</f>
        <v>3</v>
      </c>
    </row>
    <row r="20" spans="1:33">
      <c r="A20" s="2">
        <v>41</v>
      </c>
      <c r="B20" s="3">
        <v>46042.926585648202</v>
      </c>
      <c r="C20" s="3">
        <v>46042.929004629601</v>
      </c>
      <c r="D20" s="1" t="s">
        <v>63</v>
      </c>
      <c r="E20" s="1"/>
      <c r="F20" s="1" t="s">
        <v>34</v>
      </c>
      <c r="G20" s="1" t="s">
        <v>81</v>
      </c>
      <c r="H20" s="1" t="s">
        <v>82</v>
      </c>
      <c r="I20" s="1" t="s">
        <v>39</v>
      </c>
      <c r="J20" s="1" t="s">
        <v>39</v>
      </c>
      <c r="K20" s="1" t="s">
        <v>39</v>
      </c>
      <c r="L20" s="1" t="s">
        <v>39</v>
      </c>
      <c r="M20" s="1" t="s">
        <v>38</v>
      </c>
      <c r="N20" s="1" t="s">
        <v>39</v>
      </c>
      <c r="O20" s="1" t="s">
        <v>39</v>
      </c>
      <c r="P20" s="1" t="s">
        <v>38</v>
      </c>
      <c r="Q20" s="1" t="s">
        <v>39</v>
      </c>
      <c r="R20" s="1" t="s">
        <v>39</v>
      </c>
      <c r="S20" s="1"/>
      <c r="T20" s="1" t="s">
        <v>39</v>
      </c>
      <c r="U20" s="1" t="s">
        <v>39</v>
      </c>
      <c r="V20" s="1" t="s">
        <v>39</v>
      </c>
      <c r="W20" s="1" t="s">
        <v>39</v>
      </c>
      <c r="X20" s="1" t="s">
        <v>39</v>
      </c>
      <c r="Y20" s="1" t="s">
        <v>39</v>
      </c>
      <c r="Z20" s="1" t="s">
        <v>39</v>
      </c>
      <c r="AA20" s="1" t="s">
        <v>39</v>
      </c>
      <c r="AB20" s="1" t="s">
        <v>39</v>
      </c>
      <c r="AC20" s="1" t="s">
        <v>39</v>
      </c>
      <c r="AD20" s="1" t="s">
        <v>39</v>
      </c>
      <c r="AE20" s="4"/>
      <c r="AF20" s="4"/>
      <c r="AG20">
        <f>COUNTIF(OfficeForms.Table[[#This Row],[1- Existem materiais ou objetos desnecessários ou sem uso no posto de trabalho?.Materiais e objetos]:[22 - Existe percepção e evidencia de melhoria continua no posto?.Melhoria]],"Ruim")</f>
        <v>0</v>
      </c>
    </row>
    <row r="21" spans="1:33">
      <c r="A21" s="2">
        <v>42</v>
      </c>
      <c r="B21" s="3">
        <v>46044.901655092603</v>
      </c>
      <c r="C21" s="3">
        <v>46044.907488425903</v>
      </c>
      <c r="D21" s="1" t="s">
        <v>63</v>
      </c>
      <c r="E21" s="1"/>
      <c r="F21" s="1" t="s">
        <v>34</v>
      </c>
      <c r="G21" s="1" t="s">
        <v>83</v>
      </c>
      <c r="H21" s="1" t="s">
        <v>84</v>
      </c>
      <c r="I21" s="1" t="s">
        <v>45</v>
      </c>
      <c r="J21" s="1" t="s">
        <v>39</v>
      </c>
      <c r="K21" s="1" t="s">
        <v>39</v>
      </c>
      <c r="L21" s="1" t="s">
        <v>45</v>
      </c>
      <c r="M21" s="1" t="s">
        <v>39</v>
      </c>
      <c r="N21" s="1" t="s">
        <v>39</v>
      </c>
      <c r="O21" s="1" t="s">
        <v>45</v>
      </c>
      <c r="P21" s="1" t="s">
        <v>39</v>
      </c>
      <c r="Q21" s="1" t="s">
        <v>39</v>
      </c>
      <c r="R21" s="1" t="s">
        <v>39</v>
      </c>
      <c r="S21" s="1" t="s">
        <v>45</v>
      </c>
      <c r="T21" s="1" t="s">
        <v>39</v>
      </c>
      <c r="U21" s="1" t="s">
        <v>45</v>
      </c>
      <c r="V21" s="1" t="s">
        <v>39</v>
      </c>
      <c r="W21" s="1" t="s">
        <v>39</v>
      </c>
      <c r="X21" s="1" t="s">
        <v>39</v>
      </c>
      <c r="Y21" s="1" t="s">
        <v>39</v>
      </c>
      <c r="Z21" s="1" t="s">
        <v>45</v>
      </c>
      <c r="AA21" s="1" t="s">
        <v>39</v>
      </c>
      <c r="AB21" s="1" t="s">
        <v>39</v>
      </c>
      <c r="AC21" s="1" t="s">
        <v>45</v>
      </c>
      <c r="AD21" s="1" t="s">
        <v>39</v>
      </c>
      <c r="AE21" s="4"/>
      <c r="AF21" s="4"/>
      <c r="AG21">
        <f>COUNTIF(OfficeForms.Table[[#This Row],[1- Existem materiais ou objetos desnecessários ou sem uso no posto de trabalho?.Materiais e objetos]:[22 - Existe percepção e evidencia de melhoria continua no posto?.Melhoria]],"Ruim")</f>
        <v>0</v>
      </c>
    </row>
    <row r="22" spans="1:33">
      <c r="A22" s="2">
        <v>43</v>
      </c>
      <c r="B22" s="3">
        <v>46045.573750000003</v>
      </c>
      <c r="C22" s="3">
        <v>46045.580613425896</v>
      </c>
      <c r="D22" s="1" t="s">
        <v>63</v>
      </c>
      <c r="E22" s="1"/>
      <c r="F22" s="1" t="s">
        <v>34</v>
      </c>
      <c r="G22" s="1" t="s">
        <v>85</v>
      </c>
      <c r="H22" s="1" t="s">
        <v>86</v>
      </c>
      <c r="I22" s="1" t="s">
        <v>44</v>
      </c>
      <c r="J22" s="1" t="s">
        <v>44</v>
      </c>
      <c r="K22" s="1" t="s">
        <v>45</v>
      </c>
      <c r="L22" s="1" t="s">
        <v>44</v>
      </c>
      <c r="M22" s="1" t="s">
        <v>44</v>
      </c>
      <c r="N22" s="1" t="s">
        <v>44</v>
      </c>
      <c r="O22" s="1" t="s">
        <v>44</v>
      </c>
      <c r="P22" s="1" t="s">
        <v>45</v>
      </c>
      <c r="Q22" s="1" t="s">
        <v>44</v>
      </c>
      <c r="R22" s="1" t="s">
        <v>44</v>
      </c>
      <c r="S22" s="1" t="s">
        <v>38</v>
      </c>
      <c r="T22" s="1" t="s">
        <v>44</v>
      </c>
      <c r="U22" s="1" t="s">
        <v>44</v>
      </c>
      <c r="V22" s="1" t="s">
        <v>45</v>
      </c>
      <c r="W22" s="1" t="s">
        <v>45</v>
      </c>
      <c r="X22" s="1" t="s">
        <v>44</v>
      </c>
      <c r="Y22" s="1" t="s">
        <v>39</v>
      </c>
      <c r="Z22" s="1" t="s">
        <v>45</v>
      </c>
      <c r="AA22" s="1" t="s">
        <v>39</v>
      </c>
      <c r="AB22" s="1" t="s">
        <v>45</v>
      </c>
      <c r="AC22" s="1" t="s">
        <v>45</v>
      </c>
      <c r="AD22" s="1" t="s">
        <v>45</v>
      </c>
      <c r="AE22" s="4" t="s">
        <v>87</v>
      </c>
      <c r="AF22" s="4"/>
      <c r="AG22">
        <f>COUNTIF(OfficeForms.Table[[#This Row],[1- Existem materiais ou objetos desnecessários ou sem uso no posto de trabalho?.Materiais e objetos]:[22 - Existe percepção e evidencia de melhoria continua no posto?.Melhoria]],"Ruim")</f>
        <v>0</v>
      </c>
    </row>
    <row r="23" spans="1:33" ht="43.15">
      <c r="A23" s="2">
        <v>44</v>
      </c>
      <c r="B23" s="3">
        <v>46048.349548611099</v>
      </c>
      <c r="C23" s="3">
        <v>46048.3756712963</v>
      </c>
      <c r="D23" s="1" t="s">
        <v>63</v>
      </c>
      <c r="E23" s="1"/>
      <c r="F23" s="1" t="s">
        <v>34</v>
      </c>
      <c r="G23" s="1" t="s">
        <v>88</v>
      </c>
      <c r="H23" s="1" t="s">
        <v>89</v>
      </c>
      <c r="I23" s="1" t="s">
        <v>37</v>
      </c>
      <c r="J23" s="1" t="s">
        <v>38</v>
      </c>
      <c r="K23" s="1" t="s">
        <v>39</v>
      </c>
      <c r="L23" s="1" t="s">
        <v>37</v>
      </c>
      <c r="M23" s="1" t="s">
        <v>37</v>
      </c>
      <c r="N23" s="1" t="s">
        <v>37</v>
      </c>
      <c r="O23" s="1" t="s">
        <v>37</v>
      </c>
      <c r="P23" s="1" t="s">
        <v>37</v>
      </c>
      <c r="Q23" s="1" t="s">
        <v>38</v>
      </c>
      <c r="R23" s="1" t="s">
        <v>38</v>
      </c>
      <c r="S23" s="1" t="s">
        <v>37</v>
      </c>
      <c r="T23" s="1" t="s">
        <v>39</v>
      </c>
      <c r="U23" s="1" t="s">
        <v>37</v>
      </c>
      <c r="V23" s="1" t="s">
        <v>37</v>
      </c>
      <c r="W23" s="1" t="s">
        <v>38</v>
      </c>
      <c r="X23" s="1" t="s">
        <v>39</v>
      </c>
      <c r="Y23" s="1" t="s">
        <v>37</v>
      </c>
      <c r="Z23" s="1" t="s">
        <v>39</v>
      </c>
      <c r="AA23" s="1" t="s">
        <v>39</v>
      </c>
      <c r="AB23" s="1" t="s">
        <v>38</v>
      </c>
      <c r="AC23" s="1" t="s">
        <v>38</v>
      </c>
      <c r="AD23" s="1" t="s">
        <v>38</v>
      </c>
      <c r="AE23" s="4" t="s">
        <v>90</v>
      </c>
      <c r="AF23" s="4"/>
      <c r="AG23">
        <f>COUNTIF(OfficeForms.Table[[#This Row],[1- Existem materiais ou objetos desnecessários ou sem uso no posto de trabalho?.Materiais e objetos]:[22 - Existe percepção e evidencia de melhoria continua no posto?.Melhoria]],"Ruim")</f>
        <v>10</v>
      </c>
    </row>
    <row r="24" spans="1:33" ht="28.9">
      <c r="A24" s="2">
        <v>45</v>
      </c>
      <c r="B24" s="3">
        <v>46049.435092592597</v>
      </c>
      <c r="C24" s="3">
        <v>46049.445486111101</v>
      </c>
      <c r="D24" s="1" t="s">
        <v>63</v>
      </c>
      <c r="E24" s="1"/>
      <c r="F24" s="1" t="s">
        <v>34</v>
      </c>
      <c r="G24" s="1" t="s">
        <v>91</v>
      </c>
      <c r="H24" s="1" t="s">
        <v>92</v>
      </c>
      <c r="I24" s="1" t="s">
        <v>39</v>
      </c>
      <c r="J24" s="1" t="s">
        <v>44</v>
      </c>
      <c r="K24" s="1" t="s">
        <v>45</v>
      </c>
      <c r="L24" s="1" t="s">
        <v>45</v>
      </c>
      <c r="M24" s="1" t="s">
        <v>39</v>
      </c>
      <c r="N24" s="1" t="s">
        <v>37</v>
      </c>
      <c r="O24" s="1" t="s">
        <v>38</v>
      </c>
      <c r="P24" s="1" t="s">
        <v>45</v>
      </c>
      <c r="Q24" s="1" t="s">
        <v>39</v>
      </c>
      <c r="R24" s="1" t="s">
        <v>39</v>
      </c>
      <c r="S24" s="1" t="s">
        <v>44</v>
      </c>
      <c r="T24" s="1" t="s">
        <v>39</v>
      </c>
      <c r="U24" s="1" t="s">
        <v>44</v>
      </c>
      <c r="V24" s="1" t="s">
        <v>44</v>
      </c>
      <c r="W24" s="1" t="s">
        <v>44</v>
      </c>
      <c r="X24" s="1" t="s">
        <v>44</v>
      </c>
      <c r="Y24" s="1" t="s">
        <v>39</v>
      </c>
      <c r="Z24" s="1" t="s">
        <v>45</v>
      </c>
      <c r="AA24" s="1" t="s">
        <v>44</v>
      </c>
      <c r="AB24" s="1" t="s">
        <v>45</v>
      </c>
      <c r="AC24" s="1" t="s">
        <v>44</v>
      </c>
      <c r="AD24" s="1" t="s">
        <v>45</v>
      </c>
      <c r="AE24" s="4" t="s">
        <v>93</v>
      </c>
      <c r="AF24" s="4" t="s">
        <v>94</v>
      </c>
      <c r="AG24">
        <f>COUNTIF(OfficeForms.Table[[#This Row],[1- Existem materiais ou objetos desnecessários ou sem uso no posto de trabalho?.Materiais e objetos]:[22 - Existe percepção e evidencia de melhoria continua no posto?.Melhoria]],"Ruim")</f>
        <v>1</v>
      </c>
    </row>
    <row r="25" spans="1:33" ht="28.9">
      <c r="A25" s="2">
        <v>46</v>
      </c>
      <c r="B25" s="3">
        <v>46049.447685185201</v>
      </c>
      <c r="C25" s="3">
        <v>46049.462592592601</v>
      </c>
      <c r="D25" s="1" t="s">
        <v>63</v>
      </c>
      <c r="E25" s="1"/>
      <c r="F25" s="1" t="s">
        <v>34</v>
      </c>
      <c r="G25" s="1" t="s">
        <v>95</v>
      </c>
      <c r="H25" s="1" t="s">
        <v>92</v>
      </c>
      <c r="I25" s="1" t="s">
        <v>38</v>
      </c>
      <c r="J25" s="1" t="s">
        <v>37</v>
      </c>
      <c r="K25" s="1" t="s">
        <v>45</v>
      </c>
      <c r="L25" s="1" t="s">
        <v>37</v>
      </c>
      <c r="M25" s="1" t="s">
        <v>37</v>
      </c>
      <c r="N25" s="1" t="s">
        <v>37</v>
      </c>
      <c r="O25" s="1" t="s">
        <v>39</v>
      </c>
      <c r="P25" s="1" t="s">
        <v>39</v>
      </c>
      <c r="Q25" s="1" t="s">
        <v>37</v>
      </c>
      <c r="R25" s="1" t="s">
        <v>38</v>
      </c>
      <c r="S25" s="1" t="s">
        <v>37</v>
      </c>
      <c r="T25" s="1" t="s">
        <v>37</v>
      </c>
      <c r="U25" s="1" t="s">
        <v>37</v>
      </c>
      <c r="V25" s="1" t="s">
        <v>38</v>
      </c>
      <c r="W25" s="1" t="s">
        <v>45</v>
      </c>
      <c r="X25" s="1" t="s">
        <v>45</v>
      </c>
      <c r="Y25" s="1" t="s">
        <v>37</v>
      </c>
      <c r="Z25" s="1" t="s">
        <v>45</v>
      </c>
      <c r="AA25" s="1" t="s">
        <v>37</v>
      </c>
      <c r="AB25" s="1" t="s">
        <v>45</v>
      </c>
      <c r="AC25" s="1" t="s">
        <v>38</v>
      </c>
      <c r="AD25" s="1" t="s">
        <v>37</v>
      </c>
      <c r="AE25" s="4" t="s">
        <v>96</v>
      </c>
      <c r="AF25" s="4" t="s">
        <v>97</v>
      </c>
      <c r="AG25">
        <f>COUNTIF(OfficeForms.Table[[#This Row],[1- Existem materiais ou objetos desnecessários ou sem uso no posto de trabalho?.Materiais e objetos]:[22 - Existe percepção e evidencia de melhoria continua no posto?.Melhoria]],"Ruim")</f>
        <v>11</v>
      </c>
    </row>
    <row r="26" spans="1:33" ht="28.9">
      <c r="A26" s="2">
        <v>47</v>
      </c>
      <c r="B26" s="3">
        <v>46050.809571759302</v>
      </c>
      <c r="C26" s="3">
        <v>46050.812314814801</v>
      </c>
      <c r="D26" s="1" t="s">
        <v>63</v>
      </c>
      <c r="E26" s="1"/>
      <c r="F26" s="1" t="s">
        <v>34</v>
      </c>
      <c r="G26" s="1" t="s">
        <v>98</v>
      </c>
      <c r="H26" s="1" t="s">
        <v>78</v>
      </c>
      <c r="I26" s="1" t="s">
        <v>39</v>
      </c>
      <c r="J26" s="1" t="s">
        <v>39</v>
      </c>
      <c r="K26" s="1" t="s">
        <v>39</v>
      </c>
      <c r="L26" s="1" t="s">
        <v>44</v>
      </c>
      <c r="M26" s="1" t="s">
        <v>39</v>
      </c>
      <c r="N26" s="1" t="s">
        <v>39</v>
      </c>
      <c r="O26" s="1" t="s">
        <v>39</v>
      </c>
      <c r="P26" s="1" t="s">
        <v>45</v>
      </c>
      <c r="Q26" s="1" t="s">
        <v>39</v>
      </c>
      <c r="R26" s="1" t="s">
        <v>39</v>
      </c>
      <c r="S26" s="1" t="s">
        <v>39</v>
      </c>
      <c r="T26" s="1" t="s">
        <v>39</v>
      </c>
      <c r="U26" s="1" t="s">
        <v>39</v>
      </c>
      <c r="V26" s="1" t="s">
        <v>39</v>
      </c>
      <c r="W26" s="1" t="s">
        <v>39</v>
      </c>
      <c r="X26" s="1" t="s">
        <v>39</v>
      </c>
      <c r="Y26" s="1" t="s">
        <v>39</v>
      </c>
      <c r="Z26" s="1" t="s">
        <v>45</v>
      </c>
      <c r="AA26" s="1" t="s">
        <v>39</v>
      </c>
      <c r="AB26" s="1" t="s">
        <v>39</v>
      </c>
      <c r="AC26" s="1" t="s">
        <v>39</v>
      </c>
      <c r="AD26" s="1" t="s">
        <v>39</v>
      </c>
      <c r="AE26" s="4" t="s">
        <v>99</v>
      </c>
      <c r="AF26" s="4" t="s">
        <v>100</v>
      </c>
      <c r="AG26">
        <f>COUNTIF(OfficeForms.Table[[#This Row],[1- Existem materiais ou objetos desnecessários ou sem uso no posto de trabalho?.Materiais e objetos]:[22 - Existe percepção e evidencia de melhoria continua no posto?.Melhoria]],"Ruim")</f>
        <v>0</v>
      </c>
    </row>
    <row r="27" spans="1:33" ht="72">
      <c r="A27" s="2">
        <v>48</v>
      </c>
      <c r="B27" s="3">
        <v>46051.450046296297</v>
      </c>
      <c r="C27" s="3">
        <v>46051.4714930556</v>
      </c>
      <c r="D27" s="1" t="s">
        <v>63</v>
      </c>
      <c r="E27" s="1"/>
      <c r="F27" s="1" t="s">
        <v>34</v>
      </c>
      <c r="G27" s="1" t="s">
        <v>101</v>
      </c>
      <c r="H27" s="1" t="s">
        <v>102</v>
      </c>
      <c r="I27" s="1" t="s">
        <v>39</v>
      </c>
      <c r="J27" s="1" t="s">
        <v>39</v>
      </c>
      <c r="K27" s="1" t="s">
        <v>39</v>
      </c>
      <c r="L27" s="1" t="s">
        <v>38</v>
      </c>
      <c r="M27" s="1" t="s">
        <v>38</v>
      </c>
      <c r="N27" s="1" t="s">
        <v>39</v>
      </c>
      <c r="O27" s="1" t="s">
        <v>39</v>
      </c>
      <c r="P27" s="1" t="s">
        <v>38</v>
      </c>
      <c r="Q27" s="1" t="s">
        <v>39</v>
      </c>
      <c r="R27" s="1" t="s">
        <v>39</v>
      </c>
      <c r="S27" s="1" t="s">
        <v>39</v>
      </c>
      <c r="T27" s="1" t="s">
        <v>38</v>
      </c>
      <c r="U27" s="1" t="s">
        <v>38</v>
      </c>
      <c r="V27" s="1" t="s">
        <v>39</v>
      </c>
      <c r="W27" s="1" t="s">
        <v>39</v>
      </c>
      <c r="X27" s="1" t="s">
        <v>39</v>
      </c>
      <c r="Y27" s="1" t="s">
        <v>38</v>
      </c>
      <c r="Z27" s="1" t="s">
        <v>39</v>
      </c>
      <c r="AA27" s="1" t="s">
        <v>39</v>
      </c>
      <c r="AB27" s="1" t="s">
        <v>39</v>
      </c>
      <c r="AC27" s="1" t="s">
        <v>39</v>
      </c>
      <c r="AD27" s="1" t="s">
        <v>39</v>
      </c>
      <c r="AE27" s="4" t="s">
        <v>103</v>
      </c>
      <c r="AF27" s="4" t="s">
        <v>104</v>
      </c>
      <c r="AG27">
        <f>COUNTIF(OfficeForms.Table[[#This Row],[1- Existem materiais ou objetos desnecessários ou sem uso no posto de trabalho?.Materiais e objetos]:[22 - Existe percepção e evidencia de melhoria continua no posto?.Melhoria]],"Ruim")</f>
        <v>0</v>
      </c>
    </row>
    <row r="28" spans="1:33" ht="28.9">
      <c r="A28" s="2">
        <v>49</v>
      </c>
      <c r="B28" s="3">
        <v>46051.623078703698</v>
      </c>
      <c r="C28" s="3">
        <v>46051.632083333301</v>
      </c>
      <c r="D28" s="1" t="s">
        <v>63</v>
      </c>
      <c r="E28" s="1"/>
      <c r="F28" s="1" t="s">
        <v>34</v>
      </c>
      <c r="G28" s="1" t="s">
        <v>105</v>
      </c>
      <c r="H28" s="1" t="s">
        <v>106</v>
      </c>
      <c r="I28" s="1" t="s">
        <v>39</v>
      </c>
      <c r="J28" s="1" t="s">
        <v>44</v>
      </c>
      <c r="K28" s="1" t="s">
        <v>44</v>
      </c>
      <c r="L28" s="1" t="s">
        <v>39</v>
      </c>
      <c r="M28" s="1" t="s">
        <v>39</v>
      </c>
      <c r="N28" s="1" t="s">
        <v>39</v>
      </c>
      <c r="O28" s="1" t="s">
        <v>38</v>
      </c>
      <c r="P28" s="1" t="s">
        <v>37</v>
      </c>
      <c r="Q28" s="1" t="s">
        <v>39</v>
      </c>
      <c r="R28" s="1" t="s">
        <v>38</v>
      </c>
      <c r="S28" s="1" t="s">
        <v>39</v>
      </c>
      <c r="T28" s="1" t="s">
        <v>44</v>
      </c>
      <c r="U28" s="1" t="s">
        <v>44</v>
      </c>
      <c r="V28" s="1" t="s">
        <v>44</v>
      </c>
      <c r="W28" s="1" t="s">
        <v>44</v>
      </c>
      <c r="X28" s="1" t="s">
        <v>37</v>
      </c>
      <c r="Y28" s="1" t="s">
        <v>39</v>
      </c>
      <c r="Z28" s="1" t="s">
        <v>44</v>
      </c>
      <c r="AA28" s="1" t="s">
        <v>44</v>
      </c>
      <c r="AB28" s="1" t="s">
        <v>45</v>
      </c>
      <c r="AC28" s="1" t="s">
        <v>37</v>
      </c>
      <c r="AD28" s="1" t="s">
        <v>39</v>
      </c>
      <c r="AE28" s="4" t="s">
        <v>107</v>
      </c>
      <c r="AF28" s="4" t="s">
        <v>108</v>
      </c>
      <c r="AG28">
        <f>COUNTIF(OfficeForms.Table[[#This Row],[1- Existem materiais ou objetos desnecessários ou sem uso no posto de trabalho?.Materiais e objetos]:[22 - Existe percepção e evidencia de melhoria continua no posto?.Melhoria]],"Ruim")</f>
        <v>3</v>
      </c>
    </row>
    <row r="29" spans="1:33" ht="129.6">
      <c r="A29" s="2">
        <v>50</v>
      </c>
      <c r="B29" s="3">
        <v>46052.614467592597</v>
      </c>
      <c r="C29" s="3">
        <v>46052.6323148148</v>
      </c>
      <c r="D29" s="1" t="s">
        <v>63</v>
      </c>
      <c r="E29" s="1"/>
      <c r="F29" s="1" t="s">
        <v>34</v>
      </c>
      <c r="G29" s="1" t="s">
        <v>109</v>
      </c>
      <c r="H29" s="1" t="s">
        <v>110</v>
      </c>
      <c r="I29" s="1" t="s">
        <v>39</v>
      </c>
      <c r="J29" s="1" t="s">
        <v>39</v>
      </c>
      <c r="K29" s="1" t="s">
        <v>39</v>
      </c>
      <c r="L29" s="1" t="s">
        <v>37</v>
      </c>
      <c r="M29" s="1" t="s">
        <v>39</v>
      </c>
      <c r="N29" s="1" t="s">
        <v>37</v>
      </c>
      <c r="O29" s="1" t="s">
        <v>37</v>
      </c>
      <c r="P29" s="1" t="s">
        <v>37</v>
      </c>
      <c r="Q29" s="1" t="s">
        <v>38</v>
      </c>
      <c r="R29" s="1" t="s">
        <v>39</v>
      </c>
      <c r="S29" s="1" t="s">
        <v>39</v>
      </c>
      <c r="T29" s="1" t="s">
        <v>39</v>
      </c>
      <c r="U29" s="1" t="s">
        <v>39</v>
      </c>
      <c r="V29" s="1" t="s">
        <v>39</v>
      </c>
      <c r="W29" s="1" t="s">
        <v>39</v>
      </c>
      <c r="X29" s="1" t="s">
        <v>39</v>
      </c>
      <c r="Y29" s="1" t="s">
        <v>39</v>
      </c>
      <c r="Z29" s="1" t="s">
        <v>39</v>
      </c>
      <c r="AA29" s="1" t="s">
        <v>39</v>
      </c>
      <c r="AB29" s="1" t="s">
        <v>39</v>
      </c>
      <c r="AC29" s="1" t="s">
        <v>39</v>
      </c>
      <c r="AD29" s="1" t="s">
        <v>39</v>
      </c>
      <c r="AE29" s="4"/>
      <c r="AF29" s="4" t="s">
        <v>111</v>
      </c>
      <c r="AG29">
        <f>COUNTIF(OfficeForms.Table[[#This Row],[1- Existem materiais ou objetos desnecessários ou sem uso no posto de trabalho?.Materiais e objetos]:[22 - Existe percepção e evidencia de melhoria continua no posto?.Melhoria]],"Ruim")</f>
        <v>4</v>
      </c>
    </row>
    <row r="30" spans="1:33">
      <c r="A30" s="2">
        <v>51</v>
      </c>
      <c r="B30" s="3">
        <v>46052.639756944402</v>
      </c>
      <c r="C30" s="3">
        <v>46052.644351851799</v>
      </c>
      <c r="D30" s="1" t="s">
        <v>63</v>
      </c>
      <c r="E30" s="1"/>
      <c r="F30" s="1" t="s">
        <v>34</v>
      </c>
      <c r="G30" s="1" t="s">
        <v>112</v>
      </c>
      <c r="H30" s="1" t="s">
        <v>113</v>
      </c>
      <c r="I30" s="1" t="s">
        <v>39</v>
      </c>
      <c r="J30" s="1" t="s">
        <v>44</v>
      </c>
      <c r="K30" s="1" t="s">
        <v>44</v>
      </c>
      <c r="L30" s="1" t="s">
        <v>37</v>
      </c>
      <c r="M30" s="1" t="s">
        <v>44</v>
      </c>
      <c r="N30" s="1" t="s">
        <v>39</v>
      </c>
      <c r="O30" s="1" t="s">
        <v>44</v>
      </c>
      <c r="P30" s="1" t="s">
        <v>45</v>
      </c>
      <c r="Q30" s="1" t="s">
        <v>44</v>
      </c>
      <c r="R30" s="1" t="s">
        <v>44</v>
      </c>
      <c r="S30" s="1" t="s">
        <v>45</v>
      </c>
      <c r="T30" s="1" t="s">
        <v>44</v>
      </c>
      <c r="U30" s="1" t="s">
        <v>39</v>
      </c>
      <c r="V30" s="1" t="s">
        <v>44</v>
      </c>
      <c r="W30" s="1" t="s">
        <v>45</v>
      </c>
      <c r="X30" s="1" t="s">
        <v>45</v>
      </c>
      <c r="Y30" s="1" t="s">
        <v>44</v>
      </c>
      <c r="Z30" s="1" t="s">
        <v>44</v>
      </c>
      <c r="AA30" s="1" t="s">
        <v>44</v>
      </c>
      <c r="AB30" s="1" t="s">
        <v>44</v>
      </c>
      <c r="AC30" s="1" t="s">
        <v>45</v>
      </c>
      <c r="AD30" s="1" t="s">
        <v>45</v>
      </c>
      <c r="AE30" s="4"/>
      <c r="AF30" s="4" t="s">
        <v>114</v>
      </c>
      <c r="AG30">
        <f>COUNTIF(OfficeForms.Table[[#This Row],[1- Existem materiais ou objetos desnecessários ou sem uso no posto de trabalho?.Materiais e objetos]:[22 - Existe percepção e evidencia de melhoria continua no posto?.Melhoria]],"Ruim")</f>
        <v>1</v>
      </c>
    </row>
    <row r="31" spans="1:33">
      <c r="A31" s="2">
        <v>52</v>
      </c>
      <c r="B31" s="3">
        <v>46052.6478935185</v>
      </c>
      <c r="C31" s="3">
        <v>46052.654826388898</v>
      </c>
      <c r="D31" s="1" t="s">
        <v>63</v>
      </c>
      <c r="E31" s="1"/>
      <c r="F31" s="1" t="s">
        <v>34</v>
      </c>
      <c r="G31" s="1" t="s">
        <v>115</v>
      </c>
      <c r="H31" s="1" t="s">
        <v>116</v>
      </c>
      <c r="I31" s="1" t="s">
        <v>39</v>
      </c>
      <c r="J31" s="1" t="s">
        <v>44</v>
      </c>
      <c r="K31" s="1" t="s">
        <v>39</v>
      </c>
      <c r="L31" s="1" t="s">
        <v>39</v>
      </c>
      <c r="M31" s="1" t="s">
        <v>39</v>
      </c>
      <c r="N31" s="1" t="s">
        <v>44</v>
      </c>
      <c r="O31" s="1" t="s">
        <v>37</v>
      </c>
      <c r="P31" s="1" t="s">
        <v>39</v>
      </c>
      <c r="Q31" s="1" t="s">
        <v>39</v>
      </c>
      <c r="R31" s="1" t="s">
        <v>38</v>
      </c>
      <c r="S31" s="1" t="s">
        <v>37</v>
      </c>
      <c r="T31" s="1" t="s">
        <v>39</v>
      </c>
      <c r="U31" s="1" t="s">
        <v>39</v>
      </c>
      <c r="V31" s="1" t="s">
        <v>39</v>
      </c>
      <c r="W31" s="1" t="s">
        <v>45</v>
      </c>
      <c r="X31" s="1" t="s">
        <v>39</v>
      </c>
      <c r="Y31" s="1" t="s">
        <v>39</v>
      </c>
      <c r="Z31" s="1" t="s">
        <v>39</v>
      </c>
      <c r="AA31" s="1" t="s">
        <v>39</v>
      </c>
      <c r="AB31" s="1" t="s">
        <v>39</v>
      </c>
      <c r="AC31" s="1" t="s">
        <v>39</v>
      </c>
      <c r="AD31" s="1" t="s">
        <v>38</v>
      </c>
      <c r="AE31" s="4" t="s">
        <v>117</v>
      </c>
      <c r="AF31" s="4"/>
      <c r="AG31">
        <f>COUNTIF(OfficeForms.Table[[#This Row],[1- Existem materiais ou objetos desnecessários ou sem uso no posto de trabalho?.Materiais e objetos]:[22 - Existe percepção e evidencia de melhoria continua no posto?.Melhoria]],"Ruim")</f>
        <v>2</v>
      </c>
    </row>
    <row r="32" spans="1:33" ht="57.6">
      <c r="A32" s="2">
        <v>53</v>
      </c>
      <c r="B32" s="3">
        <v>46052.654259259303</v>
      </c>
      <c r="C32" s="3">
        <v>46052.659155092602</v>
      </c>
      <c r="D32" s="1" t="s">
        <v>63</v>
      </c>
      <c r="E32" s="1"/>
      <c r="F32" s="1" t="s">
        <v>34</v>
      </c>
      <c r="G32" s="1" t="s">
        <v>118</v>
      </c>
      <c r="H32" s="1" t="s">
        <v>119</v>
      </c>
      <c r="I32" s="1" t="s">
        <v>38</v>
      </c>
      <c r="J32" s="1" t="s">
        <v>39</v>
      </c>
      <c r="K32" s="1" t="s">
        <v>39</v>
      </c>
      <c r="L32" s="1" t="s">
        <v>39</v>
      </c>
      <c r="M32" s="1" t="s">
        <v>37</v>
      </c>
      <c r="N32" s="1" t="s">
        <v>39</v>
      </c>
      <c r="O32" s="1" t="s">
        <v>39</v>
      </c>
      <c r="P32" s="1" t="s">
        <v>45</v>
      </c>
      <c r="Q32" s="1" t="s">
        <v>39</v>
      </c>
      <c r="R32" s="1" t="s">
        <v>39</v>
      </c>
      <c r="S32" s="1" t="s">
        <v>45</v>
      </c>
      <c r="T32" s="1" t="s">
        <v>44</v>
      </c>
      <c r="U32" s="1" t="s">
        <v>37</v>
      </c>
      <c r="V32" s="1" t="s">
        <v>39</v>
      </c>
      <c r="W32" s="1" t="s">
        <v>44</v>
      </c>
      <c r="X32" s="1" t="s">
        <v>45</v>
      </c>
      <c r="Y32" s="1" t="s">
        <v>45</v>
      </c>
      <c r="Z32" s="1" t="s">
        <v>45</v>
      </c>
      <c r="AA32" s="1" t="s">
        <v>44</v>
      </c>
      <c r="AB32" s="1" t="s">
        <v>39</v>
      </c>
      <c r="AC32" s="1" t="s">
        <v>45</v>
      </c>
      <c r="AD32" s="1" t="s">
        <v>39</v>
      </c>
      <c r="AE32" s="4" t="s">
        <v>120</v>
      </c>
      <c r="AF32" s="4" t="s">
        <v>121</v>
      </c>
      <c r="AG32">
        <f>COUNTIF(OfficeForms.Table[[#This Row],[1- Existem materiais ou objetos desnecessários ou sem uso no posto de trabalho?.Materiais e objetos]:[22 - Existe percepção e evidencia de melhoria continua no posto?.Melhoria]],"Ruim")</f>
        <v>2</v>
      </c>
    </row>
    <row r="33" spans="1:33" ht="72">
      <c r="A33" s="2">
        <v>54</v>
      </c>
      <c r="B33" s="3">
        <v>46052.694803240702</v>
      </c>
      <c r="C33" s="3">
        <v>46052.7128703704</v>
      </c>
      <c r="D33" s="1" t="s">
        <v>63</v>
      </c>
      <c r="E33" s="1"/>
      <c r="F33" s="1" t="s">
        <v>34</v>
      </c>
      <c r="G33" s="1" t="s">
        <v>122</v>
      </c>
      <c r="H33" s="1" t="s">
        <v>123</v>
      </c>
      <c r="I33" s="1" t="s">
        <v>39</v>
      </c>
      <c r="J33" s="1" t="s">
        <v>39</v>
      </c>
      <c r="K33" s="1" t="s">
        <v>44</v>
      </c>
      <c r="L33" s="1" t="s">
        <v>44</v>
      </c>
      <c r="M33" s="1" t="s">
        <v>39</v>
      </c>
      <c r="N33" s="1" t="s">
        <v>37</v>
      </c>
      <c r="O33" s="1" t="s">
        <v>38</v>
      </c>
      <c r="P33" s="1" t="s">
        <v>38</v>
      </c>
      <c r="Q33" s="1" t="s">
        <v>39</v>
      </c>
      <c r="R33" s="1" t="s">
        <v>39</v>
      </c>
      <c r="S33" s="1" t="s">
        <v>37</v>
      </c>
      <c r="T33" s="1" t="s">
        <v>44</v>
      </c>
      <c r="U33" s="1" t="s">
        <v>39</v>
      </c>
      <c r="V33" s="1" t="s">
        <v>39</v>
      </c>
      <c r="W33" s="1" t="s">
        <v>39</v>
      </c>
      <c r="X33" s="1" t="s">
        <v>37</v>
      </c>
      <c r="Y33" s="1" t="s">
        <v>38</v>
      </c>
      <c r="Z33" s="1" t="s">
        <v>44</v>
      </c>
      <c r="AA33" s="1" t="s">
        <v>39</v>
      </c>
      <c r="AB33" s="1" t="s">
        <v>39</v>
      </c>
      <c r="AC33" s="1" t="s">
        <v>38</v>
      </c>
      <c r="AD33" s="1" t="s">
        <v>37</v>
      </c>
      <c r="AE33" s="4" t="s">
        <v>124</v>
      </c>
      <c r="AF33" s="4" t="s">
        <v>125</v>
      </c>
      <c r="AG33">
        <f>COUNTIF(OfficeForms.Table[[#This Row],[1- Existem materiais ou objetos desnecessários ou sem uso no posto de trabalho?.Materiais e objetos]:[22 - Existe percepção e evidencia de melhoria continua no posto?.Melhoria]],"Ruim")</f>
        <v>4</v>
      </c>
    </row>
    <row r="34" spans="1:33" ht="86.45">
      <c r="A34" s="2">
        <v>55</v>
      </c>
      <c r="B34" s="3">
        <v>46052.698599536998</v>
      </c>
      <c r="C34" s="3">
        <v>46052.723761574103</v>
      </c>
      <c r="D34" s="1" t="s">
        <v>63</v>
      </c>
      <c r="E34" s="1"/>
      <c r="F34" s="1" t="s">
        <v>34</v>
      </c>
      <c r="G34" s="1" t="s">
        <v>126</v>
      </c>
      <c r="H34" s="1" t="s">
        <v>127</v>
      </c>
      <c r="I34" s="1" t="s">
        <v>39</v>
      </c>
      <c r="J34" s="1" t="s">
        <v>39</v>
      </c>
      <c r="K34" s="1" t="s">
        <v>38</v>
      </c>
      <c r="L34" s="1" t="s">
        <v>37</v>
      </c>
      <c r="M34" s="1" t="s">
        <v>39</v>
      </c>
      <c r="N34" s="1" t="s">
        <v>38</v>
      </c>
      <c r="O34" s="1" t="s">
        <v>39</v>
      </c>
      <c r="P34" s="1" t="s">
        <v>37</v>
      </c>
      <c r="Q34" s="1" t="s">
        <v>39</v>
      </c>
      <c r="R34" s="1" t="s">
        <v>39</v>
      </c>
      <c r="S34" s="1" t="s">
        <v>37</v>
      </c>
      <c r="T34" s="1" t="s">
        <v>37</v>
      </c>
      <c r="U34" s="1" t="s">
        <v>37</v>
      </c>
      <c r="V34" s="1" t="s">
        <v>39</v>
      </c>
      <c r="W34" s="1" t="s">
        <v>39</v>
      </c>
      <c r="X34" s="1" t="s">
        <v>37</v>
      </c>
      <c r="Y34" s="1" t="s">
        <v>37</v>
      </c>
      <c r="Z34" s="1" t="s">
        <v>38</v>
      </c>
      <c r="AA34" s="1" t="s">
        <v>37</v>
      </c>
      <c r="AB34" s="1" t="s">
        <v>45</v>
      </c>
      <c r="AC34" s="1" t="s">
        <v>37</v>
      </c>
      <c r="AD34" s="1" t="s">
        <v>38</v>
      </c>
      <c r="AE34" s="4" t="s">
        <v>128</v>
      </c>
      <c r="AF34" s="5" t="s">
        <v>129</v>
      </c>
      <c r="AG34">
        <f>COUNTIF(OfficeForms.Table[[#This Row],[1- Existem materiais ou objetos desnecessários ou sem uso no posto de trabalho?.Materiais e objetos]:[22 - Existe percepção e evidencia de melhoria continua no posto?.Melhoria]],"Ruim")</f>
        <v>9</v>
      </c>
    </row>
    <row r="35" spans="1:33" ht="144">
      <c r="A35" s="2">
        <v>56</v>
      </c>
      <c r="B35" s="3">
        <v>46055.348402777803</v>
      </c>
      <c r="C35" s="3">
        <v>46055.361875000002</v>
      </c>
      <c r="D35" s="1" t="s">
        <v>63</v>
      </c>
      <c r="E35" s="1"/>
      <c r="F35" s="1" t="s">
        <v>34</v>
      </c>
      <c r="G35" s="1" t="s">
        <v>130</v>
      </c>
      <c r="H35" s="1" t="s">
        <v>131</v>
      </c>
      <c r="I35" s="1" t="s">
        <v>38</v>
      </c>
      <c r="J35" s="1" t="s">
        <v>45</v>
      </c>
      <c r="K35" s="1" t="s">
        <v>45</v>
      </c>
      <c r="L35" s="1" t="s">
        <v>45</v>
      </c>
      <c r="M35" s="1" t="s">
        <v>38</v>
      </c>
      <c r="N35" s="1" t="s">
        <v>37</v>
      </c>
      <c r="O35" s="1" t="s">
        <v>45</v>
      </c>
      <c r="P35" s="1" t="s">
        <v>37</v>
      </c>
      <c r="Q35" s="1" t="s">
        <v>37</v>
      </c>
      <c r="R35" s="1" t="s">
        <v>38</v>
      </c>
      <c r="S35" s="1" t="s">
        <v>45</v>
      </c>
      <c r="T35" s="1" t="s">
        <v>45</v>
      </c>
      <c r="U35" s="1" t="s">
        <v>45</v>
      </c>
      <c r="V35" s="1" t="s">
        <v>45</v>
      </c>
      <c r="W35" s="1" t="s">
        <v>45</v>
      </c>
      <c r="X35" s="1" t="s">
        <v>37</v>
      </c>
      <c r="Y35" s="1" t="s">
        <v>37</v>
      </c>
      <c r="Z35" s="1" t="s">
        <v>45</v>
      </c>
      <c r="AA35" s="1" t="s">
        <v>38</v>
      </c>
      <c r="AB35" s="1" t="s">
        <v>45</v>
      </c>
      <c r="AC35" s="1" t="s">
        <v>37</v>
      </c>
      <c r="AD35" s="1" t="s">
        <v>45</v>
      </c>
      <c r="AE35" s="4" t="s">
        <v>132</v>
      </c>
      <c r="AF35" s="4" t="s">
        <v>133</v>
      </c>
      <c r="AG35">
        <f>COUNTIF(OfficeForms.Table[[#This Row],[1- Existem materiais ou objetos desnecessários ou sem uso no posto de trabalho?.Materiais e objetos]:[22 - Existe percepção e evidencia de melhoria continua no posto?.Melhoria]],"Ruim")</f>
        <v>6</v>
      </c>
    </row>
    <row r="36" spans="1:33" ht="14.25" customHeight="1">
      <c r="A36" s="2">
        <v>57</v>
      </c>
      <c r="B36" s="3">
        <v>46056.841192129599</v>
      </c>
      <c r="C36" s="3">
        <v>46056.848854166703</v>
      </c>
      <c r="D36" s="1" t="s">
        <v>63</v>
      </c>
      <c r="E36" s="1"/>
      <c r="F36" s="1" t="s">
        <v>34</v>
      </c>
      <c r="G36" s="1" t="s">
        <v>134</v>
      </c>
      <c r="H36" s="1" t="s">
        <v>135</v>
      </c>
      <c r="I36" s="1" t="s">
        <v>39</v>
      </c>
      <c r="J36" s="1" t="s">
        <v>39</v>
      </c>
      <c r="K36" s="1" t="s">
        <v>39</v>
      </c>
      <c r="L36" s="1" t="s">
        <v>39</v>
      </c>
      <c r="M36" s="1" t="s">
        <v>39</v>
      </c>
      <c r="N36" s="1" t="s">
        <v>39</v>
      </c>
      <c r="O36" s="1" t="s">
        <v>39</v>
      </c>
      <c r="P36" s="1" t="s">
        <v>39</v>
      </c>
      <c r="Q36" s="1" t="s">
        <v>39</v>
      </c>
      <c r="R36" s="1" t="s">
        <v>38</v>
      </c>
      <c r="S36" s="1" t="s">
        <v>39</v>
      </c>
      <c r="T36" s="1" t="s">
        <v>39</v>
      </c>
      <c r="U36" s="1" t="s">
        <v>37</v>
      </c>
      <c r="V36" s="1" t="s">
        <v>39</v>
      </c>
      <c r="W36" s="1" t="s">
        <v>45</v>
      </c>
      <c r="X36" s="1" t="s">
        <v>39</v>
      </c>
      <c r="Y36" s="1" t="s">
        <v>39</v>
      </c>
      <c r="Z36" s="1" t="s">
        <v>39</v>
      </c>
      <c r="AA36" s="1" t="s">
        <v>39</v>
      </c>
      <c r="AB36" s="1" t="s">
        <v>39</v>
      </c>
      <c r="AC36" s="1" t="s">
        <v>39</v>
      </c>
      <c r="AD36" s="1" t="s">
        <v>38</v>
      </c>
      <c r="AE36" s="4" t="s">
        <v>136</v>
      </c>
      <c r="AF36" s="4"/>
      <c r="AG36">
        <f>COUNTIF(OfficeForms.Table[[#This Row],[1- Existem materiais ou objetos desnecessários ou sem uso no posto de trabalho?.Materiais e objetos]:[22 - Existe percepção e evidencia de melhoria continua no posto?.Melhoria]],"Ruim")</f>
        <v>1</v>
      </c>
    </row>
    <row r="37" spans="1:33">
      <c r="A37" s="2">
        <v>58</v>
      </c>
      <c r="B37" s="3">
        <v>46057.762106481503</v>
      </c>
      <c r="C37" s="3">
        <v>46057.765370370398</v>
      </c>
      <c r="D37" s="1" t="s">
        <v>63</v>
      </c>
      <c r="E37" s="1"/>
      <c r="F37" s="1" t="s">
        <v>34</v>
      </c>
      <c r="G37" s="1" t="s">
        <v>137</v>
      </c>
      <c r="H37" s="1" t="s">
        <v>49</v>
      </c>
      <c r="I37" s="1" t="s">
        <v>38</v>
      </c>
      <c r="J37" s="1" t="s">
        <v>38</v>
      </c>
      <c r="K37" s="1" t="s">
        <v>39</v>
      </c>
      <c r="L37" s="1" t="s">
        <v>39</v>
      </c>
      <c r="M37" s="1" t="s">
        <v>39</v>
      </c>
      <c r="N37" s="1" t="s">
        <v>39</v>
      </c>
      <c r="O37" s="1" t="s">
        <v>45</v>
      </c>
      <c r="P37" s="1" t="s">
        <v>39</v>
      </c>
      <c r="Q37" s="1" t="s">
        <v>39</v>
      </c>
      <c r="R37" s="1" t="s">
        <v>39</v>
      </c>
      <c r="S37" s="1" t="s">
        <v>45</v>
      </c>
      <c r="T37" s="1" t="s">
        <v>39</v>
      </c>
      <c r="U37" s="1" t="s">
        <v>45</v>
      </c>
      <c r="V37" s="1" t="s">
        <v>39</v>
      </c>
      <c r="W37" s="1" t="s">
        <v>39</v>
      </c>
      <c r="X37" s="1" t="s">
        <v>39</v>
      </c>
      <c r="Y37" s="1" t="s">
        <v>39</v>
      </c>
      <c r="Z37" s="1" t="s">
        <v>45</v>
      </c>
      <c r="AA37" s="1" t="s">
        <v>39</v>
      </c>
      <c r="AB37" s="1" t="s">
        <v>39</v>
      </c>
      <c r="AC37" s="1" t="s">
        <v>45</v>
      </c>
      <c r="AD37" s="1" t="s">
        <v>39</v>
      </c>
      <c r="AE37" s="4" t="s">
        <v>138</v>
      </c>
      <c r="AF37" s="4"/>
      <c r="AG37">
        <f>COUNTIF(OfficeForms.Table[[#This Row],[1- Existem materiais ou objetos desnecessários ou sem uso no posto de trabalho?.Materiais e objetos]:[22 - Existe percepção e evidencia de melhoria continua no posto?.Melhoria]],"Ruim")</f>
        <v>0</v>
      </c>
    </row>
    <row r="38" spans="1:33" ht="28.9">
      <c r="A38" s="2">
        <v>59</v>
      </c>
      <c r="B38" s="3">
        <v>46060.630902777797</v>
      </c>
      <c r="C38" s="3">
        <v>46060.633564814802</v>
      </c>
      <c r="D38" s="1" t="s">
        <v>63</v>
      </c>
      <c r="E38" s="1"/>
      <c r="F38" s="1" t="s">
        <v>34</v>
      </c>
      <c r="G38" s="1" t="s">
        <v>139</v>
      </c>
      <c r="H38" s="1" t="s">
        <v>49</v>
      </c>
      <c r="I38" s="1" t="s">
        <v>39</v>
      </c>
      <c r="J38" s="1" t="s">
        <v>39</v>
      </c>
      <c r="K38" s="1" t="s">
        <v>39</v>
      </c>
      <c r="L38" s="1" t="s">
        <v>39</v>
      </c>
      <c r="M38" s="1" t="s">
        <v>38</v>
      </c>
      <c r="N38" s="1" t="s">
        <v>38</v>
      </c>
      <c r="O38" s="1" t="s">
        <v>39</v>
      </c>
      <c r="P38" s="1" t="s">
        <v>38</v>
      </c>
      <c r="Q38" s="1" t="s">
        <v>39</v>
      </c>
      <c r="R38" s="1" t="s">
        <v>39</v>
      </c>
      <c r="S38" s="1" t="s">
        <v>38</v>
      </c>
      <c r="T38" s="1" t="s">
        <v>39</v>
      </c>
      <c r="U38" s="1" t="s">
        <v>39</v>
      </c>
      <c r="V38" s="1" t="s">
        <v>39</v>
      </c>
      <c r="W38" s="1" t="s">
        <v>39</v>
      </c>
      <c r="X38" s="1" t="s">
        <v>39</v>
      </c>
      <c r="Y38" s="1" t="s">
        <v>39</v>
      </c>
      <c r="Z38" s="1" t="s">
        <v>45</v>
      </c>
      <c r="AA38" s="1" t="s">
        <v>39</v>
      </c>
      <c r="AB38" s="1" t="s">
        <v>39</v>
      </c>
      <c r="AC38" s="1" t="s">
        <v>45</v>
      </c>
      <c r="AD38" s="1" t="s">
        <v>39</v>
      </c>
      <c r="AE38" s="4" t="s">
        <v>140</v>
      </c>
      <c r="AF38" s="4"/>
      <c r="AG38">
        <f>COUNTIF(OfficeForms.Table[[#This Row],[1- Existem materiais ou objetos desnecessários ou sem uso no posto de trabalho?.Materiais e objetos]:[22 - Existe percepção e evidencia de melhoria continua no posto?.Melhoria]],"Ruim")</f>
        <v>0</v>
      </c>
    </row>
    <row r="39" spans="1:33" ht="43.15">
      <c r="A39" s="2">
        <v>60</v>
      </c>
      <c r="B39" s="3">
        <v>46062.327743055597</v>
      </c>
      <c r="C39" s="3">
        <v>46062.346342592602</v>
      </c>
      <c r="D39" s="1" t="s">
        <v>63</v>
      </c>
      <c r="E39" s="1"/>
      <c r="F39" s="1" t="s">
        <v>34</v>
      </c>
      <c r="G39" s="1" t="s">
        <v>141</v>
      </c>
      <c r="H39" s="1" t="s">
        <v>142</v>
      </c>
      <c r="I39" s="1" t="s">
        <v>38</v>
      </c>
      <c r="J39" s="1" t="s">
        <v>39</v>
      </c>
      <c r="K39" s="1" t="s">
        <v>39</v>
      </c>
      <c r="L39" s="1" t="s">
        <v>44</v>
      </c>
      <c r="M39" s="1" t="s">
        <v>38</v>
      </c>
      <c r="N39" s="1" t="s">
        <v>44</v>
      </c>
      <c r="O39" s="1" t="s">
        <v>39</v>
      </c>
      <c r="P39" s="1" t="s">
        <v>37</v>
      </c>
      <c r="Q39" s="1" t="s">
        <v>44</v>
      </c>
      <c r="R39" s="1" t="s">
        <v>44</v>
      </c>
      <c r="S39" s="1" t="s">
        <v>45</v>
      </c>
      <c r="T39" s="1" t="s">
        <v>44</v>
      </c>
      <c r="U39" s="1" t="s">
        <v>37</v>
      </c>
      <c r="V39" s="1" t="s">
        <v>44</v>
      </c>
      <c r="W39" s="1" t="s">
        <v>44</v>
      </c>
      <c r="X39" s="1" t="s">
        <v>45</v>
      </c>
      <c r="Y39" s="1" t="s">
        <v>39</v>
      </c>
      <c r="Z39" s="1" t="s">
        <v>45</v>
      </c>
      <c r="AA39" s="1" t="s">
        <v>44</v>
      </c>
      <c r="AB39" s="1" t="s">
        <v>45</v>
      </c>
      <c r="AC39" s="1" t="s">
        <v>44</v>
      </c>
      <c r="AD39" s="1" t="s">
        <v>39</v>
      </c>
      <c r="AE39" s="4" t="s">
        <v>143</v>
      </c>
      <c r="AF39" s="4" t="s">
        <v>144</v>
      </c>
      <c r="AG39">
        <f>COUNTIF(OfficeForms.Table[[#This Row],[1- Existem materiais ou objetos desnecessários ou sem uso no posto de trabalho?.Materiais e objetos]:[22 - Existe percepção e evidencia de melhoria continua no posto?.Melhoria]],"Ruim")</f>
        <v>2</v>
      </c>
    </row>
    <row r="40" spans="1:33" ht="86.45">
      <c r="A40" s="2">
        <v>61</v>
      </c>
      <c r="B40" s="3">
        <v>46062.326932870397</v>
      </c>
      <c r="C40" s="3">
        <v>46062.370034722197</v>
      </c>
      <c r="D40" s="1" t="s">
        <v>63</v>
      </c>
      <c r="E40" s="1"/>
      <c r="F40" s="1" t="s">
        <v>34</v>
      </c>
      <c r="G40" s="1" t="s">
        <v>145</v>
      </c>
      <c r="H40" s="1" t="s">
        <v>146</v>
      </c>
      <c r="I40" s="1" t="s">
        <v>39</v>
      </c>
      <c r="J40" s="1" t="s">
        <v>39</v>
      </c>
      <c r="K40" s="1" t="s">
        <v>45</v>
      </c>
      <c r="L40" s="1" t="s">
        <v>39</v>
      </c>
      <c r="M40" s="1" t="s">
        <v>39</v>
      </c>
      <c r="N40" s="1" t="s">
        <v>39</v>
      </c>
      <c r="O40" s="1" t="s">
        <v>39</v>
      </c>
      <c r="P40" s="1" t="s">
        <v>38</v>
      </c>
      <c r="Q40" s="1" t="s">
        <v>45</v>
      </c>
      <c r="R40" s="1"/>
      <c r="S40" s="1" t="s">
        <v>38</v>
      </c>
      <c r="T40" s="1" t="s">
        <v>38</v>
      </c>
      <c r="U40" s="1" t="s">
        <v>38</v>
      </c>
      <c r="V40" s="1" t="s">
        <v>39</v>
      </c>
      <c r="W40" s="1" t="s">
        <v>39</v>
      </c>
      <c r="X40" s="1" t="s">
        <v>37</v>
      </c>
      <c r="Y40" s="1" t="s">
        <v>37</v>
      </c>
      <c r="Z40" s="1" t="s">
        <v>45</v>
      </c>
      <c r="AA40" s="1" t="s">
        <v>39</v>
      </c>
      <c r="AB40" s="1" t="s">
        <v>39</v>
      </c>
      <c r="AC40" s="1" t="s">
        <v>39</v>
      </c>
      <c r="AD40" s="1" t="s">
        <v>39</v>
      </c>
      <c r="AE40" s="4" t="s">
        <v>147</v>
      </c>
      <c r="AF40" s="4" t="s">
        <v>148</v>
      </c>
      <c r="AG40">
        <f>COUNTIF(OfficeForms.Table[[#This Row],[1- Existem materiais ou objetos desnecessários ou sem uso no posto de trabalho?.Materiais e objetos]:[22 - Existe percepção e evidencia de melhoria continua no posto?.Melhoria]],"Ruim")</f>
        <v>2</v>
      </c>
    </row>
    <row r="41" spans="1:33">
      <c r="A41" s="2">
        <v>62</v>
      </c>
      <c r="B41" s="3">
        <v>46062.464548611097</v>
      </c>
      <c r="C41" s="3">
        <v>46062.471979166701</v>
      </c>
      <c r="D41" s="1" t="s">
        <v>63</v>
      </c>
      <c r="E41" s="1"/>
      <c r="F41" s="1" t="s">
        <v>34</v>
      </c>
      <c r="G41" s="1" t="s">
        <v>149</v>
      </c>
      <c r="H41" s="1" t="s">
        <v>59</v>
      </c>
      <c r="I41" s="1" t="s">
        <v>39</v>
      </c>
      <c r="J41" s="1" t="s">
        <v>45</v>
      </c>
      <c r="K41" s="1" t="s">
        <v>45</v>
      </c>
      <c r="L41" s="1" t="s">
        <v>44</v>
      </c>
      <c r="M41" s="1" t="s">
        <v>39</v>
      </c>
      <c r="N41" s="1" t="s">
        <v>39</v>
      </c>
      <c r="O41" s="1" t="s">
        <v>39</v>
      </c>
      <c r="P41" s="1" t="s">
        <v>45</v>
      </c>
      <c r="Q41" s="1" t="s">
        <v>45</v>
      </c>
      <c r="R41" s="1" t="s">
        <v>39</v>
      </c>
      <c r="S41" s="1" t="s">
        <v>44</v>
      </c>
      <c r="T41" s="1" t="s">
        <v>44</v>
      </c>
      <c r="U41" s="1" t="s">
        <v>37</v>
      </c>
      <c r="V41" s="1" t="s">
        <v>44</v>
      </c>
      <c r="W41" s="1" t="s">
        <v>45</v>
      </c>
      <c r="X41" s="1" t="s">
        <v>39</v>
      </c>
      <c r="Y41" s="1" t="s">
        <v>39</v>
      </c>
      <c r="Z41" s="1" t="s">
        <v>45</v>
      </c>
      <c r="AA41" s="1" t="s">
        <v>44</v>
      </c>
      <c r="AB41" s="1" t="s">
        <v>45</v>
      </c>
      <c r="AC41" s="1" t="s">
        <v>44</v>
      </c>
      <c r="AD41" s="1" t="s">
        <v>39</v>
      </c>
      <c r="AE41" s="4" t="s">
        <v>150</v>
      </c>
      <c r="AF41" s="4" t="s">
        <v>151</v>
      </c>
      <c r="AG41">
        <f>COUNTIF(OfficeForms.Table[[#This Row],[1- Existem materiais ou objetos desnecessários ou sem uso no posto de trabalho?.Materiais e objetos]:[22 - Existe percepção e evidencia de melhoria continua no posto?.Melhoria]],"Ruim")</f>
        <v>1</v>
      </c>
    </row>
    <row r="42" spans="1:33" ht="60.75">
      <c r="A42" s="2">
        <v>63</v>
      </c>
      <c r="B42" s="3">
        <v>46062.900405092601</v>
      </c>
      <c r="C42" s="3">
        <v>46062.9132986111</v>
      </c>
      <c r="D42" s="1" t="s">
        <v>63</v>
      </c>
      <c r="E42" s="1"/>
      <c r="F42" s="1" t="s">
        <v>34</v>
      </c>
      <c r="G42" s="1" t="s">
        <v>152</v>
      </c>
      <c r="H42" s="1" t="s">
        <v>153</v>
      </c>
      <c r="I42" s="1" t="s">
        <v>39</v>
      </c>
      <c r="J42" s="1" t="s">
        <v>37</v>
      </c>
      <c r="K42" s="1" t="s">
        <v>45</v>
      </c>
      <c r="L42" s="1" t="s">
        <v>45</v>
      </c>
      <c r="M42" s="1" t="s">
        <v>39</v>
      </c>
      <c r="N42" s="1" t="s">
        <v>39</v>
      </c>
      <c r="O42" s="1" t="s">
        <v>38</v>
      </c>
      <c r="P42" s="1" t="s">
        <v>45</v>
      </c>
      <c r="Q42" s="1" t="s">
        <v>38</v>
      </c>
      <c r="R42" s="1" t="s">
        <v>37</v>
      </c>
      <c r="S42" s="1" t="s">
        <v>37</v>
      </c>
      <c r="T42" s="1" t="s">
        <v>39</v>
      </c>
      <c r="U42" s="1" t="s">
        <v>38</v>
      </c>
      <c r="V42" s="1" t="s">
        <v>37</v>
      </c>
      <c r="W42" s="1" t="s">
        <v>39</v>
      </c>
      <c r="X42" s="1" t="s">
        <v>38</v>
      </c>
      <c r="Y42" s="1" t="s">
        <v>38</v>
      </c>
      <c r="Z42" s="1" t="s">
        <v>39</v>
      </c>
      <c r="AA42" s="1" t="s">
        <v>39</v>
      </c>
      <c r="AB42" s="1" t="s">
        <v>45</v>
      </c>
      <c r="AC42" s="1" t="s">
        <v>39</v>
      </c>
      <c r="AD42" s="1" t="s">
        <v>38</v>
      </c>
      <c r="AE42" s="4" t="s">
        <v>154</v>
      </c>
      <c r="AF42" s="4" t="s">
        <v>155</v>
      </c>
      <c r="AG42">
        <f>COUNTIF(OfficeForms.Table[[#This Row],[1- Existem materiais ou objetos desnecessários ou sem uso no posto de trabalho?.Materiais e objetos]:[22 - Existe percepção e evidencia de melhoria continua no posto?.Melhoria]],"Ruim")</f>
        <v>4</v>
      </c>
    </row>
    <row r="43" spans="1:33" ht="72">
      <c r="A43" s="2">
        <v>64</v>
      </c>
      <c r="B43" s="3">
        <v>46063.672800925902</v>
      </c>
      <c r="C43" s="3">
        <v>46063.688078703701</v>
      </c>
      <c r="D43" s="1" t="s">
        <v>63</v>
      </c>
      <c r="E43" s="1"/>
      <c r="F43" s="1" t="s">
        <v>34</v>
      </c>
      <c r="G43" s="1" t="s">
        <v>156</v>
      </c>
      <c r="H43" s="1" t="s">
        <v>157</v>
      </c>
      <c r="I43" s="1" t="s">
        <v>38</v>
      </c>
      <c r="J43" s="1" t="s">
        <v>39</v>
      </c>
      <c r="K43" s="1" t="s">
        <v>45</v>
      </c>
      <c r="L43" s="1" t="s">
        <v>37</v>
      </c>
      <c r="M43" s="1" t="s">
        <v>38</v>
      </c>
      <c r="N43" s="1" t="s">
        <v>37</v>
      </c>
      <c r="O43" s="1" t="s">
        <v>39</v>
      </c>
      <c r="P43" s="1" t="s">
        <v>37</v>
      </c>
      <c r="Q43" s="1" t="s">
        <v>39</v>
      </c>
      <c r="R43" s="1" t="s">
        <v>37</v>
      </c>
      <c r="S43" s="1" t="s">
        <v>37</v>
      </c>
      <c r="T43" s="1" t="s">
        <v>39</v>
      </c>
      <c r="U43" s="1" t="s">
        <v>37</v>
      </c>
      <c r="V43" s="1" t="s">
        <v>45</v>
      </c>
      <c r="W43" s="1" t="s">
        <v>45</v>
      </c>
      <c r="X43" s="1" t="s">
        <v>45</v>
      </c>
      <c r="Y43" s="1" t="s">
        <v>38</v>
      </c>
      <c r="Z43" s="1" t="s">
        <v>45</v>
      </c>
      <c r="AA43" s="1" t="s">
        <v>39</v>
      </c>
      <c r="AB43" s="1" t="s">
        <v>45</v>
      </c>
      <c r="AC43" s="1" t="s">
        <v>38</v>
      </c>
      <c r="AD43" s="1" t="s">
        <v>38</v>
      </c>
      <c r="AE43" s="5" t="s">
        <v>158</v>
      </c>
      <c r="AF43" s="5" t="s">
        <v>159</v>
      </c>
      <c r="AG43">
        <f>COUNTIF(OfficeForms.Table[[#This Row],[1- Existem materiais ou objetos desnecessários ou sem uso no posto de trabalho?.Materiais e objetos]:[22 - Existe percepção e evidencia de melhoria continua no posto?.Melhoria]],"Ruim")</f>
        <v>6</v>
      </c>
    </row>
    <row r="44" spans="1:33" ht="57.6">
      <c r="A44" s="2">
        <v>65</v>
      </c>
      <c r="B44" s="3">
        <v>46063.837638888901</v>
      </c>
      <c r="C44" s="3">
        <v>46063.842291666697</v>
      </c>
      <c r="D44" s="1" t="s">
        <v>63</v>
      </c>
      <c r="E44" s="1"/>
      <c r="F44" s="1" t="s">
        <v>34</v>
      </c>
      <c r="G44" s="1" t="s">
        <v>160</v>
      </c>
      <c r="H44" s="1" t="s">
        <v>119</v>
      </c>
      <c r="I44" s="1" t="s">
        <v>37</v>
      </c>
      <c r="J44" s="1" t="s">
        <v>44</v>
      </c>
      <c r="K44" s="1" t="s">
        <v>39</v>
      </c>
      <c r="L44" s="1" t="s">
        <v>39</v>
      </c>
      <c r="M44" s="1" t="s">
        <v>37</v>
      </c>
      <c r="N44" s="1" t="s">
        <v>39</v>
      </c>
      <c r="O44" s="1" t="s">
        <v>37</v>
      </c>
      <c r="P44" s="1" t="s">
        <v>39</v>
      </c>
      <c r="Q44" s="1" t="s">
        <v>39</v>
      </c>
      <c r="R44" s="1" t="s">
        <v>38</v>
      </c>
      <c r="S44" s="1" t="s">
        <v>39</v>
      </c>
      <c r="T44" s="1" t="s">
        <v>39</v>
      </c>
      <c r="U44" s="1" t="s">
        <v>39</v>
      </c>
      <c r="V44" s="1" t="s">
        <v>39</v>
      </c>
      <c r="W44" s="1" t="s">
        <v>44</v>
      </c>
      <c r="X44" s="1" t="s">
        <v>39</v>
      </c>
      <c r="Y44" s="1" t="s">
        <v>39</v>
      </c>
      <c r="Z44" s="1" t="s">
        <v>44</v>
      </c>
      <c r="AA44" s="1" t="s">
        <v>39</v>
      </c>
      <c r="AB44" s="1" t="s">
        <v>38</v>
      </c>
      <c r="AC44" s="1" t="s">
        <v>39</v>
      </c>
      <c r="AD44" s="1" t="s">
        <v>44</v>
      </c>
      <c r="AE44" s="5" t="s">
        <v>161</v>
      </c>
      <c r="AF44" s="5" t="s">
        <v>162</v>
      </c>
      <c r="AG44">
        <f>COUNTIF(OfficeForms.Table[[#This Row],[1- Existem materiais ou objetos desnecessários ou sem uso no posto de trabalho?.Materiais e objetos]:[22 - Existe percepção e evidencia de melhoria continua no posto?.Melhoria]],"Ruim")</f>
        <v>3</v>
      </c>
    </row>
    <row r="45" spans="1:33" ht="30.75">
      <c r="A45" s="2">
        <v>66</v>
      </c>
      <c r="B45" s="3">
        <v>46069.300312500003</v>
      </c>
      <c r="C45" s="3">
        <v>46069.310844907399</v>
      </c>
      <c r="D45" s="1" t="s">
        <v>63</v>
      </c>
      <c r="E45" s="1"/>
      <c r="F45" s="1" t="s">
        <v>34</v>
      </c>
      <c r="G45" s="1" t="s">
        <v>163</v>
      </c>
      <c r="H45" s="1" t="s">
        <v>164</v>
      </c>
      <c r="I45" s="1" t="s">
        <v>38</v>
      </c>
      <c r="J45" s="1" t="s">
        <v>45</v>
      </c>
      <c r="K45" s="1" t="s">
        <v>45</v>
      </c>
      <c r="L45" s="1" t="s">
        <v>44</v>
      </c>
      <c r="M45" s="1" t="s">
        <v>39</v>
      </c>
      <c r="N45" s="1" t="s">
        <v>39</v>
      </c>
      <c r="O45" s="1" t="s">
        <v>44</v>
      </c>
      <c r="P45" s="1" t="s">
        <v>45</v>
      </c>
      <c r="Q45" s="1" t="s">
        <v>38</v>
      </c>
      <c r="R45" s="1" t="s">
        <v>39</v>
      </c>
      <c r="S45" s="1" t="s">
        <v>45</v>
      </c>
      <c r="T45" s="1" t="s">
        <v>44</v>
      </c>
      <c r="U45" s="1" t="s">
        <v>44</v>
      </c>
      <c r="V45" s="1" t="s">
        <v>45</v>
      </c>
      <c r="W45" s="1" t="s">
        <v>45</v>
      </c>
      <c r="X45" s="1" t="s">
        <v>45</v>
      </c>
      <c r="Y45" s="1" t="s">
        <v>39</v>
      </c>
      <c r="Z45" s="1" t="s">
        <v>45</v>
      </c>
      <c r="AA45" s="1" t="s">
        <v>39</v>
      </c>
      <c r="AB45" s="1" t="s">
        <v>39</v>
      </c>
      <c r="AC45" s="1" t="s">
        <v>39</v>
      </c>
      <c r="AD45" s="1" t="s">
        <v>39</v>
      </c>
      <c r="AE45" s="5" t="s">
        <v>165</v>
      </c>
      <c r="AF45" s="5"/>
      <c r="AG45">
        <f>COUNTIF(OfficeForms.Table[[#This Row],[1- Existem materiais ou objetos desnecessários ou sem uso no posto de trabalho?.Materiais e objetos]:[22 - Existe percepção e evidencia de melhoria continua no posto?.Melhoria]],"Ruim")</f>
        <v>0</v>
      </c>
    </row>
    <row r="46" spans="1:33" ht="45.75">
      <c r="A46" s="2">
        <v>67</v>
      </c>
      <c r="B46" s="3">
        <v>46069.446701388901</v>
      </c>
      <c r="C46" s="3">
        <v>46069.460150462997</v>
      </c>
      <c r="D46" s="1" t="s">
        <v>63</v>
      </c>
      <c r="E46" s="1"/>
      <c r="F46" s="1" t="s">
        <v>34</v>
      </c>
      <c r="G46" s="1" t="s">
        <v>42</v>
      </c>
      <c r="H46" s="1" t="s">
        <v>67</v>
      </c>
      <c r="I46" s="1" t="s">
        <v>37</v>
      </c>
      <c r="J46" s="1" t="s">
        <v>45</v>
      </c>
      <c r="K46" s="1" t="s">
        <v>45</v>
      </c>
      <c r="L46" s="1" t="s">
        <v>39</v>
      </c>
      <c r="M46" s="1" t="s">
        <v>37</v>
      </c>
      <c r="N46" s="1" t="s">
        <v>37</v>
      </c>
      <c r="O46" s="1" t="s">
        <v>37</v>
      </c>
      <c r="P46" s="1" t="s">
        <v>45</v>
      </c>
      <c r="Q46" s="1" t="s">
        <v>39</v>
      </c>
      <c r="R46" s="1" t="s">
        <v>39</v>
      </c>
      <c r="S46" s="1" t="s">
        <v>39</v>
      </c>
      <c r="T46" s="1" t="s">
        <v>39</v>
      </c>
      <c r="U46" s="1" t="s">
        <v>37</v>
      </c>
      <c r="V46" s="1" t="s">
        <v>37</v>
      </c>
      <c r="W46" s="1" t="s">
        <v>39</v>
      </c>
      <c r="X46" s="1" t="s">
        <v>37</v>
      </c>
      <c r="Y46" s="1" t="s">
        <v>39</v>
      </c>
      <c r="Z46" s="1" t="s">
        <v>45</v>
      </c>
      <c r="AA46" s="1" t="s">
        <v>39</v>
      </c>
      <c r="AB46" s="1" t="s">
        <v>39</v>
      </c>
      <c r="AC46" s="1" t="s">
        <v>37</v>
      </c>
      <c r="AD46" s="1" t="s">
        <v>39</v>
      </c>
      <c r="AE46" s="5" t="s">
        <v>166</v>
      </c>
      <c r="AF46" s="5"/>
      <c r="AG46">
        <f>COUNTIF(OfficeForms.Table[[#This Row],[1- Existem materiais ou objetos desnecessários ou sem uso no posto de trabalho?.Materiais e objetos]:[22 - Existe percepção e evidencia de melhoria continua no posto?.Melhoria]],"Ruim")</f>
        <v>8</v>
      </c>
    </row>
    <row r="47" spans="1:33" ht="30.75">
      <c r="A47" s="2">
        <v>68</v>
      </c>
      <c r="B47" s="3">
        <v>46069.852025462998</v>
      </c>
      <c r="C47" s="3">
        <v>46069.858078703699</v>
      </c>
      <c r="D47" s="1" t="s">
        <v>63</v>
      </c>
      <c r="E47" s="1"/>
      <c r="F47" s="1" t="s">
        <v>34</v>
      </c>
      <c r="G47" s="1" t="s">
        <v>167</v>
      </c>
      <c r="H47" s="1" t="s">
        <v>168</v>
      </c>
      <c r="I47" s="1" t="s">
        <v>39</v>
      </c>
      <c r="J47" s="1" t="s">
        <v>39</v>
      </c>
      <c r="K47" s="1" t="s">
        <v>39</v>
      </c>
      <c r="L47" s="1" t="s">
        <v>39</v>
      </c>
      <c r="M47" s="1" t="s">
        <v>39</v>
      </c>
      <c r="N47" s="1" t="s">
        <v>39</v>
      </c>
      <c r="O47" s="1" t="s">
        <v>39</v>
      </c>
      <c r="P47" s="1" t="s">
        <v>38</v>
      </c>
      <c r="Q47" s="1" t="s">
        <v>38</v>
      </c>
      <c r="R47" s="1" t="s">
        <v>39</v>
      </c>
      <c r="S47" s="1" t="s">
        <v>39</v>
      </c>
      <c r="T47" s="1" t="s">
        <v>37</v>
      </c>
      <c r="U47" s="1" t="s">
        <v>37</v>
      </c>
      <c r="V47" s="1" t="s">
        <v>45</v>
      </c>
      <c r="W47" s="1" t="s">
        <v>39</v>
      </c>
      <c r="X47" s="1" t="s">
        <v>39</v>
      </c>
      <c r="Y47" s="1" t="s">
        <v>38</v>
      </c>
      <c r="Z47" s="1" t="s">
        <v>39</v>
      </c>
      <c r="AA47" s="1" t="s">
        <v>39</v>
      </c>
      <c r="AB47" s="1" t="s">
        <v>39</v>
      </c>
      <c r="AC47" s="1" t="s">
        <v>39</v>
      </c>
      <c r="AD47" s="1" t="s">
        <v>39</v>
      </c>
      <c r="AE47" s="5" t="s">
        <v>169</v>
      </c>
      <c r="AF47" s="5" t="s">
        <v>170</v>
      </c>
      <c r="AG47">
        <f>COUNTIF(OfficeForms.Table[[#This Row],[1- Existem materiais ou objetos desnecessários ou sem uso no posto de trabalho?.Materiais e objetos]:[22 - Existe percepção e evidencia de melhoria continua no posto?.Melhoria]],"Ruim")</f>
        <v>2</v>
      </c>
    </row>
    <row r="48" spans="1:33" ht="30.75">
      <c r="A48" s="2">
        <v>69</v>
      </c>
      <c r="B48" s="3">
        <v>46069.853622685201</v>
      </c>
      <c r="C48" s="3">
        <v>46069.8602314815</v>
      </c>
      <c r="D48" s="1" t="s">
        <v>63</v>
      </c>
      <c r="E48" s="1"/>
      <c r="F48" s="1" t="s">
        <v>34</v>
      </c>
      <c r="G48" s="1" t="s">
        <v>171</v>
      </c>
      <c r="H48" s="1" t="s">
        <v>78</v>
      </c>
      <c r="I48" s="1" t="s">
        <v>38</v>
      </c>
      <c r="J48" s="1" t="s">
        <v>38</v>
      </c>
      <c r="K48" s="1" t="s">
        <v>39</v>
      </c>
      <c r="L48" s="1" t="s">
        <v>38</v>
      </c>
      <c r="M48" s="1" t="s">
        <v>38</v>
      </c>
      <c r="N48" s="1" t="s">
        <v>38</v>
      </c>
      <c r="O48" s="1" t="s">
        <v>37</v>
      </c>
      <c r="P48" s="1" t="s">
        <v>37</v>
      </c>
      <c r="Q48" s="1" t="s">
        <v>37</v>
      </c>
      <c r="R48" s="1"/>
      <c r="S48" s="1" t="s">
        <v>45</v>
      </c>
      <c r="T48" s="1" t="s">
        <v>37</v>
      </c>
      <c r="U48" s="1" t="s">
        <v>45</v>
      </c>
      <c r="V48" s="1" t="s">
        <v>39</v>
      </c>
      <c r="W48" s="1" t="s">
        <v>38</v>
      </c>
      <c r="X48" s="1" t="s">
        <v>39</v>
      </c>
      <c r="Y48" s="1" t="s">
        <v>38</v>
      </c>
      <c r="Z48" s="1" t="s">
        <v>44</v>
      </c>
      <c r="AA48" s="1" t="s">
        <v>44</v>
      </c>
      <c r="AB48" s="1" t="s">
        <v>45</v>
      </c>
      <c r="AC48" s="1" t="s">
        <v>39</v>
      </c>
      <c r="AD48" s="1" t="s">
        <v>39</v>
      </c>
      <c r="AE48" s="5" t="s">
        <v>172</v>
      </c>
      <c r="AF48" s="5" t="s">
        <v>173</v>
      </c>
      <c r="AG48">
        <f>COUNTIF(OfficeForms.Table[[#This Row],[1- Existem materiais ou objetos desnecessários ou sem uso no posto de trabalho?.Materiais e objetos]:[22 - Existe percepção e evidencia de melhoria continua no posto?.Melhoria]],"Ruim")</f>
        <v>4</v>
      </c>
    </row>
    <row r="49" spans="1:33" ht="137.25">
      <c r="A49" s="2">
        <v>70</v>
      </c>
      <c r="B49" s="3">
        <v>46070.455451388902</v>
      </c>
      <c r="C49" s="3">
        <v>46070.467152777797</v>
      </c>
      <c r="D49" s="1" t="s">
        <v>63</v>
      </c>
      <c r="E49" s="1"/>
      <c r="F49" s="1" t="s">
        <v>34</v>
      </c>
      <c r="G49" s="1" t="s">
        <v>174</v>
      </c>
      <c r="H49" s="1" t="s">
        <v>43</v>
      </c>
      <c r="I49" s="1" t="s">
        <v>37</v>
      </c>
      <c r="J49" s="1" t="s">
        <v>39</v>
      </c>
      <c r="K49" s="1" t="s">
        <v>39</v>
      </c>
      <c r="L49" s="1" t="s">
        <v>39</v>
      </c>
      <c r="M49" s="1" t="s">
        <v>37</v>
      </c>
      <c r="N49" s="1" t="s">
        <v>37</v>
      </c>
      <c r="O49" s="1" t="s">
        <v>37</v>
      </c>
      <c r="P49" s="1" t="s">
        <v>37</v>
      </c>
      <c r="Q49" s="1" t="s">
        <v>45</v>
      </c>
      <c r="R49" s="1" t="s">
        <v>37</v>
      </c>
      <c r="S49" s="1" t="s">
        <v>37</v>
      </c>
      <c r="T49" s="1" t="s">
        <v>39</v>
      </c>
      <c r="U49" s="1" t="s">
        <v>37</v>
      </c>
      <c r="V49" s="1" t="s">
        <v>39</v>
      </c>
      <c r="W49" s="1" t="s">
        <v>37</v>
      </c>
      <c r="X49" s="1" t="s">
        <v>37</v>
      </c>
      <c r="Y49" s="1" t="s">
        <v>37</v>
      </c>
      <c r="Z49" s="1" t="s">
        <v>44</v>
      </c>
      <c r="AA49" s="1" t="s">
        <v>39</v>
      </c>
      <c r="AB49" s="1" t="s">
        <v>45</v>
      </c>
      <c r="AC49" s="1" t="s">
        <v>45</v>
      </c>
      <c r="AD49" s="1" t="s">
        <v>38</v>
      </c>
      <c r="AE49" s="5" t="s">
        <v>175</v>
      </c>
      <c r="AF49" s="5" t="s">
        <v>176</v>
      </c>
      <c r="AG49">
        <f>COUNTIF(OfficeForms.Table[[#This Row],[1- Existem materiais ou objetos desnecessários ou sem uso no posto de trabalho?.Materiais e objetos]:[22 - Existe percepção e evidencia de melhoria continua no posto?.Melhoria]],"Ruim")</f>
        <v>11</v>
      </c>
    </row>
    <row r="50" spans="1:33" ht="183">
      <c r="A50" s="2">
        <v>71</v>
      </c>
      <c r="B50" s="3">
        <v>46071.647071759297</v>
      </c>
      <c r="C50" s="3">
        <v>46071.6628472222</v>
      </c>
      <c r="D50" s="1" t="s">
        <v>63</v>
      </c>
      <c r="E50" s="1"/>
      <c r="F50" s="1" t="s">
        <v>34</v>
      </c>
      <c r="G50" s="1" t="s">
        <v>177</v>
      </c>
      <c r="H50" s="1" t="s">
        <v>178</v>
      </c>
      <c r="I50" s="1" t="s">
        <v>39</v>
      </c>
      <c r="J50" s="1" t="s">
        <v>39</v>
      </c>
      <c r="K50" s="1" t="s">
        <v>44</v>
      </c>
      <c r="L50" s="1" t="s">
        <v>44</v>
      </c>
      <c r="M50" s="1" t="s">
        <v>39</v>
      </c>
      <c r="N50" s="1" t="s">
        <v>39</v>
      </c>
      <c r="O50" s="1" t="s">
        <v>39</v>
      </c>
      <c r="P50" s="1" t="s">
        <v>39</v>
      </c>
      <c r="Q50" s="1" t="s">
        <v>39</v>
      </c>
      <c r="R50" s="1" t="s">
        <v>44</v>
      </c>
      <c r="S50" s="1" t="s">
        <v>44</v>
      </c>
      <c r="T50" s="1" t="s">
        <v>44</v>
      </c>
      <c r="U50" s="1" t="s">
        <v>38</v>
      </c>
      <c r="V50" s="1" t="s">
        <v>39</v>
      </c>
      <c r="W50" s="1" t="s">
        <v>38</v>
      </c>
      <c r="X50" s="1" t="s">
        <v>39</v>
      </c>
      <c r="Y50" s="1" t="s">
        <v>39</v>
      </c>
      <c r="Z50" s="1" t="s">
        <v>45</v>
      </c>
      <c r="AA50" s="1" t="s">
        <v>44</v>
      </c>
      <c r="AB50" s="1" t="s">
        <v>44</v>
      </c>
      <c r="AC50" s="1" t="s">
        <v>44</v>
      </c>
      <c r="AD50" s="1" t="s">
        <v>39</v>
      </c>
      <c r="AE50" s="5" t="s">
        <v>179</v>
      </c>
      <c r="AF50" s="5" t="s">
        <v>180</v>
      </c>
      <c r="AG50">
        <f>COUNTIF(OfficeForms.Table[[#This Row],[1- Existem materiais ou objetos desnecessários ou sem uso no posto de trabalho?.Materiais e objetos]:[22 - Existe percepção e evidencia de melhoria continua no posto?.Melhoria]],"Ruim")</f>
        <v>0</v>
      </c>
    </row>
    <row r="51" spans="1:33" ht="409.6">
      <c r="A51" s="2">
        <v>72</v>
      </c>
      <c r="B51" s="3">
        <v>46072.314664351899</v>
      </c>
      <c r="C51" s="3">
        <v>46072.364085648202</v>
      </c>
      <c r="D51" s="1" t="s">
        <v>63</v>
      </c>
      <c r="E51" s="1"/>
      <c r="F51" s="1" t="s">
        <v>34</v>
      </c>
      <c r="G51" s="1" t="s">
        <v>181</v>
      </c>
      <c r="H51" s="1" t="s">
        <v>74</v>
      </c>
      <c r="I51" s="1" t="s">
        <v>39</v>
      </c>
      <c r="J51" s="1" t="s">
        <v>37</v>
      </c>
      <c r="K51" s="1" t="s">
        <v>38</v>
      </c>
      <c r="L51" s="1" t="s">
        <v>39</v>
      </c>
      <c r="M51" s="1" t="s">
        <v>37</v>
      </c>
      <c r="N51" s="1" t="s">
        <v>37</v>
      </c>
      <c r="O51" s="1" t="s">
        <v>39</v>
      </c>
      <c r="P51" s="1" t="s">
        <v>38</v>
      </c>
      <c r="Q51" s="1" t="s">
        <v>37</v>
      </c>
      <c r="R51" s="1" t="s">
        <v>37</v>
      </c>
      <c r="S51" s="1" t="s">
        <v>37</v>
      </c>
      <c r="T51" s="1" t="s">
        <v>37</v>
      </c>
      <c r="U51" s="1" t="s">
        <v>39</v>
      </c>
      <c r="V51" s="1" t="s">
        <v>37</v>
      </c>
      <c r="W51" s="1" t="s">
        <v>37</v>
      </c>
      <c r="X51" s="1" t="s">
        <v>37</v>
      </c>
      <c r="Y51" s="1" t="s">
        <v>38</v>
      </c>
      <c r="Z51" s="1" t="s">
        <v>45</v>
      </c>
      <c r="AA51" s="1" t="s">
        <v>38</v>
      </c>
      <c r="AB51" s="1" t="s">
        <v>45</v>
      </c>
      <c r="AC51" s="1" t="s">
        <v>37</v>
      </c>
      <c r="AD51" s="1" t="s">
        <v>38</v>
      </c>
      <c r="AE51" s="5" t="s">
        <v>182</v>
      </c>
      <c r="AF51" s="5" t="s">
        <v>183</v>
      </c>
      <c r="AG51">
        <f>COUNTIF(OfficeForms.Table[[#This Row],[1- Existem materiais ou objetos desnecessários ou sem uso no posto de trabalho?.Materiais e objetos]:[22 - Existe percepção e evidencia de melhoria continua no posto?.Melhoria]],"Ruim")</f>
        <v>11</v>
      </c>
    </row>
    <row r="52" spans="1:33" ht="45.75">
      <c r="A52" s="2">
        <v>73</v>
      </c>
      <c r="B52" s="3">
        <v>46072.855833333299</v>
      </c>
      <c r="C52" s="3">
        <v>46072.859699074099</v>
      </c>
      <c r="D52" s="1" t="s">
        <v>63</v>
      </c>
      <c r="E52" s="1"/>
      <c r="F52" s="1" t="s">
        <v>34</v>
      </c>
      <c r="G52" s="1" t="s">
        <v>184</v>
      </c>
      <c r="H52" s="1" t="s">
        <v>119</v>
      </c>
      <c r="I52" s="1" t="s">
        <v>39</v>
      </c>
      <c r="J52" s="1" t="s">
        <v>44</v>
      </c>
      <c r="K52" s="1" t="s">
        <v>39</v>
      </c>
      <c r="L52" s="1" t="s">
        <v>39</v>
      </c>
      <c r="M52" s="1" t="s">
        <v>39</v>
      </c>
      <c r="N52" s="1" t="s">
        <v>39</v>
      </c>
      <c r="O52" s="1" t="s">
        <v>39</v>
      </c>
      <c r="P52" s="1" t="s">
        <v>39</v>
      </c>
      <c r="Q52" s="1" t="s">
        <v>39</v>
      </c>
      <c r="R52" s="1" t="s">
        <v>39</v>
      </c>
      <c r="S52" s="1" t="s">
        <v>45</v>
      </c>
      <c r="T52" s="1" t="s">
        <v>37</v>
      </c>
      <c r="U52" s="1" t="s">
        <v>39</v>
      </c>
      <c r="V52" s="1" t="s">
        <v>39</v>
      </c>
      <c r="W52" s="1" t="s">
        <v>39</v>
      </c>
      <c r="X52" s="1" t="s">
        <v>39</v>
      </c>
      <c r="Y52" s="1" t="s">
        <v>39</v>
      </c>
      <c r="Z52" s="1" t="s">
        <v>39</v>
      </c>
      <c r="AA52" s="1" t="s">
        <v>39</v>
      </c>
      <c r="AB52" s="1" t="s">
        <v>45</v>
      </c>
      <c r="AC52" s="1" t="s">
        <v>45</v>
      </c>
      <c r="AD52" s="1" t="s">
        <v>45</v>
      </c>
      <c r="AE52" s="5" t="s">
        <v>185</v>
      </c>
      <c r="AF52" s="5"/>
      <c r="AG52">
        <f>COUNTIF(OfficeForms.Table[[#This Row],[1- Existem materiais ou objetos desnecessários ou sem uso no posto de trabalho?.Materiais e objetos]:[22 - Existe percepção e evidencia de melhoria continua no posto?.Melhoria]],"Ruim")</f>
        <v>1</v>
      </c>
    </row>
    <row r="53" spans="1:33" ht="259.5">
      <c r="A53" s="2">
        <v>74</v>
      </c>
      <c r="B53" s="3">
        <v>46077.654282407399</v>
      </c>
      <c r="C53" s="3">
        <v>46077.701840277798</v>
      </c>
      <c r="D53" s="1" t="s">
        <v>63</v>
      </c>
      <c r="E53" s="1"/>
      <c r="F53" s="1" t="s">
        <v>34</v>
      </c>
      <c r="G53" s="1" t="s">
        <v>186</v>
      </c>
      <c r="H53" s="1" t="s">
        <v>71</v>
      </c>
      <c r="I53" s="1" t="s">
        <v>38</v>
      </c>
      <c r="J53" s="1" t="s">
        <v>37</v>
      </c>
      <c r="K53" s="1" t="s">
        <v>39</v>
      </c>
      <c r="L53" s="1" t="s">
        <v>37</v>
      </c>
      <c r="M53" s="1" t="s">
        <v>37</v>
      </c>
      <c r="N53" s="1" t="s">
        <v>37</v>
      </c>
      <c r="O53" s="1" t="s">
        <v>37</v>
      </c>
      <c r="P53" s="1" t="s">
        <v>38</v>
      </c>
      <c r="Q53" s="1" t="s">
        <v>38</v>
      </c>
      <c r="R53" s="1" t="s">
        <v>37</v>
      </c>
      <c r="S53" s="1" t="s">
        <v>37</v>
      </c>
      <c r="T53" s="1" t="s">
        <v>38</v>
      </c>
      <c r="U53" s="1" t="s">
        <v>37</v>
      </c>
      <c r="V53" s="1" t="s">
        <v>37</v>
      </c>
      <c r="W53" s="1"/>
      <c r="X53" s="1" t="s">
        <v>37</v>
      </c>
      <c r="Y53" s="1" t="s">
        <v>37</v>
      </c>
      <c r="Z53" s="1" t="s">
        <v>39</v>
      </c>
      <c r="AA53" s="1" t="s">
        <v>39</v>
      </c>
      <c r="AB53" s="1" t="s">
        <v>37</v>
      </c>
      <c r="AC53" s="1" t="s">
        <v>37</v>
      </c>
      <c r="AD53" s="1" t="s">
        <v>38</v>
      </c>
      <c r="AE53" s="5" t="s">
        <v>187</v>
      </c>
      <c r="AF53" s="5" t="s">
        <v>188</v>
      </c>
      <c r="AG53">
        <f>COUNTIF(OfficeForms.Table[[#This Row],[1- Existem materiais ou objetos desnecessários ou sem uso no posto de trabalho?.Materiais e objetos]:[22 - Existe percepção e evidencia de melhoria continua no posto?.Melhoria]],"Ruim")</f>
        <v>13</v>
      </c>
    </row>
    <row r="54" spans="1:33" ht="45.75">
      <c r="A54" s="2">
        <v>75</v>
      </c>
      <c r="B54" s="3">
        <v>46080.660902777803</v>
      </c>
      <c r="C54" s="3">
        <v>46080.666527777801</v>
      </c>
      <c r="D54" s="1" t="s">
        <v>63</v>
      </c>
      <c r="E54" s="1"/>
      <c r="F54" s="1" t="s">
        <v>34</v>
      </c>
      <c r="G54" s="1" t="s">
        <v>189</v>
      </c>
      <c r="H54" s="1" t="s">
        <v>190</v>
      </c>
      <c r="I54" s="1" t="s">
        <v>37</v>
      </c>
      <c r="J54" s="1" t="s">
        <v>45</v>
      </c>
      <c r="K54" s="1" t="s">
        <v>39</v>
      </c>
      <c r="L54" s="1" t="s">
        <v>39</v>
      </c>
      <c r="M54" s="1" t="s">
        <v>39</v>
      </c>
      <c r="N54" s="1" t="s">
        <v>39</v>
      </c>
      <c r="O54" s="1" t="s">
        <v>44</v>
      </c>
      <c r="P54" s="1" t="s">
        <v>38</v>
      </c>
      <c r="Q54" s="1" t="s">
        <v>45</v>
      </c>
      <c r="R54" s="1" t="s">
        <v>38</v>
      </c>
      <c r="S54" s="1" t="s">
        <v>37</v>
      </c>
      <c r="T54" s="1" t="s">
        <v>38</v>
      </c>
      <c r="U54" s="1" t="s">
        <v>45</v>
      </c>
      <c r="V54" s="1" t="s">
        <v>44</v>
      </c>
      <c r="W54" s="1" t="s">
        <v>44</v>
      </c>
      <c r="X54" s="1" t="s">
        <v>37</v>
      </c>
      <c r="Y54" s="1" t="s">
        <v>38</v>
      </c>
      <c r="Z54" s="1" t="s">
        <v>45</v>
      </c>
      <c r="AA54" s="1" t="s">
        <v>38</v>
      </c>
      <c r="AB54" s="1" t="s">
        <v>45</v>
      </c>
      <c r="AC54" s="1" t="s">
        <v>37</v>
      </c>
      <c r="AD54" s="1" t="s">
        <v>37</v>
      </c>
      <c r="AE54" s="5" t="s">
        <v>191</v>
      </c>
      <c r="AF54" s="5"/>
      <c r="AG54">
        <f>COUNTIF(OfficeForms.Table[[#This Row],[1- Existem materiais ou objetos desnecessários ou sem uso no posto de trabalho?.Materiais e objetos]:[22 - Existe percepção e evidencia de melhoria continua no posto?.Melhoria]],"Ruim")</f>
        <v>5</v>
      </c>
    </row>
    <row r="55" spans="1:33" ht="106.5">
      <c r="A55" s="2">
        <v>76</v>
      </c>
      <c r="B55" s="3">
        <v>46080.661307870403</v>
      </c>
      <c r="C55" s="3">
        <v>46080.669432870403</v>
      </c>
      <c r="D55" s="1" t="s">
        <v>63</v>
      </c>
      <c r="E55" s="1"/>
      <c r="F55" s="1" t="s">
        <v>34</v>
      </c>
      <c r="G55" s="1" t="s">
        <v>192</v>
      </c>
      <c r="H55" s="1" t="s">
        <v>157</v>
      </c>
      <c r="I55" s="1" t="s">
        <v>39</v>
      </c>
      <c r="J55" s="1" t="s">
        <v>45</v>
      </c>
      <c r="K55" s="1" t="s">
        <v>45</v>
      </c>
      <c r="L55" s="1" t="s">
        <v>39</v>
      </c>
      <c r="M55" s="1" t="s">
        <v>39</v>
      </c>
      <c r="N55" s="1" t="s">
        <v>39</v>
      </c>
      <c r="O55" s="1" t="s">
        <v>37</v>
      </c>
      <c r="P55" s="1" t="s">
        <v>38</v>
      </c>
      <c r="Q55" s="1" t="s">
        <v>39</v>
      </c>
      <c r="R55" s="1" t="s">
        <v>38</v>
      </c>
      <c r="S55" s="1" t="s">
        <v>37</v>
      </c>
      <c r="T55" s="1" t="s">
        <v>39</v>
      </c>
      <c r="U55" s="1" t="s">
        <v>45</v>
      </c>
      <c r="V55" s="1" t="s">
        <v>37</v>
      </c>
      <c r="W55" s="1" t="s">
        <v>45</v>
      </c>
      <c r="X55" s="1" t="s">
        <v>37</v>
      </c>
      <c r="Y55" s="1" t="s">
        <v>39</v>
      </c>
      <c r="Z55" s="1" t="s">
        <v>45</v>
      </c>
      <c r="AA55" s="1" t="s">
        <v>38</v>
      </c>
      <c r="AB55" s="1" t="s">
        <v>37</v>
      </c>
      <c r="AC55" s="1" t="s">
        <v>38</v>
      </c>
      <c r="AD55" s="1" t="s">
        <v>38</v>
      </c>
      <c r="AE55" s="5" t="s">
        <v>193</v>
      </c>
      <c r="AF55" s="5"/>
      <c r="AG55">
        <f>COUNTIF(OfficeForms.Table[[#This Row],[1- Existem materiais ou objetos desnecessários ou sem uso no posto de trabalho?.Materiais e objetos]:[22 - Existe percepção e evidencia de melhoria continua no posto?.Melhoria]],"Ruim")</f>
        <v>5</v>
      </c>
    </row>
    <row r="56" spans="1:33" ht="30.75">
      <c r="A56" s="2">
        <v>77</v>
      </c>
      <c r="B56" s="3">
        <v>46080.668067129598</v>
      </c>
      <c r="C56" s="3">
        <v>46080.672094907401</v>
      </c>
      <c r="D56" s="1" t="s">
        <v>63</v>
      </c>
      <c r="E56" s="1"/>
      <c r="F56" s="1" t="s">
        <v>34</v>
      </c>
      <c r="G56" s="1" t="s">
        <v>194</v>
      </c>
      <c r="H56" s="1" t="s">
        <v>119</v>
      </c>
      <c r="I56" s="1" t="s">
        <v>39</v>
      </c>
      <c r="J56" s="1" t="s">
        <v>39</v>
      </c>
      <c r="K56" s="1" t="s">
        <v>39</v>
      </c>
      <c r="L56" s="1" t="s">
        <v>39</v>
      </c>
      <c r="M56" s="1" t="s">
        <v>39</v>
      </c>
      <c r="N56" s="1" t="s">
        <v>39</v>
      </c>
      <c r="O56" s="1" t="s">
        <v>39</v>
      </c>
      <c r="P56" s="1" t="s">
        <v>37</v>
      </c>
      <c r="Q56" s="1" t="s">
        <v>39</v>
      </c>
      <c r="R56" s="1" t="s">
        <v>38</v>
      </c>
      <c r="S56" s="1" t="s">
        <v>37</v>
      </c>
      <c r="T56" s="1" t="s">
        <v>39</v>
      </c>
      <c r="U56" s="1" t="s">
        <v>39</v>
      </c>
      <c r="V56" s="1" t="s">
        <v>39</v>
      </c>
      <c r="W56" s="1" t="s">
        <v>39</v>
      </c>
      <c r="X56" s="1" t="s">
        <v>39</v>
      </c>
      <c r="Y56" s="1" t="s">
        <v>39</v>
      </c>
      <c r="Z56" s="1" t="s">
        <v>39</v>
      </c>
      <c r="AA56" s="1" t="s">
        <v>39</v>
      </c>
      <c r="AB56" s="1" t="s">
        <v>39</v>
      </c>
      <c r="AC56" s="1" t="s">
        <v>39</v>
      </c>
      <c r="AD56" s="1" t="s">
        <v>45</v>
      </c>
      <c r="AE56" s="5" t="s">
        <v>195</v>
      </c>
      <c r="AF56" s="5"/>
      <c r="AG56">
        <f>COUNTIF(OfficeForms.Table[[#This Row],[1- Existem materiais ou objetos desnecessários ou sem uso no posto de trabalho?.Materiais e objetos]:[22 - Existe percepção e evidencia de melhoria continua no posto?.Melhoria]],"Ruim")</f>
        <v>2</v>
      </c>
    </row>
    <row r="57" spans="1:33" ht="30.75">
      <c r="A57" s="2">
        <v>78</v>
      </c>
      <c r="B57" s="3">
        <v>46080.6713773148</v>
      </c>
      <c r="C57" s="3">
        <v>46080.675312500003</v>
      </c>
      <c r="D57" s="1" t="s">
        <v>63</v>
      </c>
      <c r="E57" s="1"/>
      <c r="F57" s="1" t="s">
        <v>34</v>
      </c>
      <c r="G57" s="1" t="s">
        <v>196</v>
      </c>
      <c r="H57" s="1" t="s">
        <v>197</v>
      </c>
      <c r="I57" s="1" t="s">
        <v>39</v>
      </c>
      <c r="J57" s="1" t="s">
        <v>44</v>
      </c>
      <c r="K57" s="1" t="s">
        <v>44</v>
      </c>
      <c r="L57" s="1" t="s">
        <v>44</v>
      </c>
      <c r="M57" s="1" t="s">
        <v>44</v>
      </c>
      <c r="N57" s="1" t="s">
        <v>44</v>
      </c>
      <c r="O57" s="1" t="s">
        <v>39</v>
      </c>
      <c r="P57" s="1" t="s">
        <v>39</v>
      </c>
      <c r="Q57" s="1" t="s">
        <v>44</v>
      </c>
      <c r="R57" s="1" t="s">
        <v>39</v>
      </c>
      <c r="S57" s="1" t="s">
        <v>44</v>
      </c>
      <c r="T57" s="1" t="s">
        <v>37</v>
      </c>
      <c r="U57" s="1" t="s">
        <v>37</v>
      </c>
      <c r="V57" s="1" t="s">
        <v>44</v>
      </c>
      <c r="W57" s="1" t="s">
        <v>44</v>
      </c>
      <c r="X57" s="1" t="s">
        <v>37</v>
      </c>
      <c r="Y57" s="1" t="s">
        <v>44</v>
      </c>
      <c r="Z57" s="1" t="s">
        <v>45</v>
      </c>
      <c r="AA57" s="1" t="s">
        <v>37</v>
      </c>
      <c r="AB57" s="1" t="s">
        <v>45</v>
      </c>
      <c r="AC57" s="1" t="s">
        <v>45</v>
      </c>
      <c r="AD57" s="1" t="s">
        <v>39</v>
      </c>
      <c r="AE57" s="5"/>
      <c r="AF57" s="5" t="s">
        <v>198</v>
      </c>
      <c r="AG57">
        <f>COUNTIF(OfficeForms.Table[[#This Row],[1- Existem materiais ou objetos desnecessários ou sem uso no posto de trabalho?.Materiais e objetos]:[22 - Existe percepção e evidencia de melhoria continua no posto?.Melhoria]],"Ruim")</f>
        <v>4</v>
      </c>
    </row>
    <row r="58" spans="1:33" ht="15">
      <c r="A58" s="2">
        <v>79</v>
      </c>
      <c r="B58" s="3">
        <v>46080.701886574097</v>
      </c>
      <c r="C58" s="3">
        <v>46080.713067129604</v>
      </c>
      <c r="D58" s="1" t="s">
        <v>63</v>
      </c>
      <c r="E58" s="1"/>
      <c r="F58" s="1" t="s">
        <v>34</v>
      </c>
      <c r="G58" s="1" t="s">
        <v>199</v>
      </c>
      <c r="H58" s="1" t="s">
        <v>200</v>
      </c>
      <c r="I58" s="1" t="s">
        <v>38</v>
      </c>
      <c r="J58" s="1" t="s">
        <v>39</v>
      </c>
      <c r="K58" s="1" t="s">
        <v>39</v>
      </c>
      <c r="L58" s="1" t="s">
        <v>37</v>
      </c>
      <c r="M58" s="1" t="s">
        <v>39</v>
      </c>
      <c r="N58" s="1" t="s">
        <v>39</v>
      </c>
      <c r="O58" s="1" t="s">
        <v>38</v>
      </c>
      <c r="P58" s="1" t="s">
        <v>38</v>
      </c>
      <c r="Q58" s="1" t="s">
        <v>39</v>
      </c>
      <c r="R58" s="1" t="s">
        <v>39</v>
      </c>
      <c r="S58" s="1" t="s">
        <v>39</v>
      </c>
      <c r="T58" s="1" t="s">
        <v>39</v>
      </c>
      <c r="U58" s="1" t="s">
        <v>39</v>
      </c>
      <c r="V58" s="1" t="s">
        <v>39</v>
      </c>
      <c r="W58" s="1" t="s">
        <v>39</v>
      </c>
      <c r="X58" s="1" t="s">
        <v>39</v>
      </c>
      <c r="Y58" s="1" t="s">
        <v>39</v>
      </c>
      <c r="Z58" s="1" t="s">
        <v>39</v>
      </c>
      <c r="AA58" s="1" t="s">
        <v>39</v>
      </c>
      <c r="AB58" s="1" t="s">
        <v>39</v>
      </c>
      <c r="AC58" s="1" t="s">
        <v>39</v>
      </c>
      <c r="AD58" s="1" t="s">
        <v>39</v>
      </c>
      <c r="AE58" s="5"/>
      <c r="AF58" s="5"/>
      <c r="AG58">
        <f>COUNTIF(OfficeForms.Table[[#This Row],[1- Existem materiais ou objetos desnecessários ou sem uso no posto de trabalho?.Materiais e objetos]:[22 - Existe percepção e evidencia de melhoria continua no posto?.Melhoria]],"Ruim")</f>
        <v>1</v>
      </c>
    </row>
    <row r="59" spans="1:33" ht="30.75">
      <c r="A59" s="2">
        <v>80</v>
      </c>
      <c r="B59" s="3">
        <v>46080.7092708333</v>
      </c>
      <c r="C59" s="3">
        <v>46080.714212963001</v>
      </c>
      <c r="D59" s="1" t="s">
        <v>63</v>
      </c>
      <c r="E59" s="1"/>
      <c r="F59" s="1" t="s">
        <v>34</v>
      </c>
      <c r="G59" s="1" t="s">
        <v>201</v>
      </c>
      <c r="H59" s="1" t="s">
        <v>202</v>
      </c>
      <c r="I59" s="1" t="s">
        <v>38</v>
      </c>
      <c r="J59" s="1" t="s">
        <v>39</v>
      </c>
      <c r="K59" s="1" t="s">
        <v>44</v>
      </c>
      <c r="L59" s="1" t="s">
        <v>37</v>
      </c>
      <c r="M59" s="1" t="s">
        <v>37</v>
      </c>
      <c r="N59" s="1" t="s">
        <v>39</v>
      </c>
      <c r="O59" s="1" t="s">
        <v>39</v>
      </c>
      <c r="P59" s="1" t="s">
        <v>39</v>
      </c>
      <c r="Q59" s="1" t="s">
        <v>38</v>
      </c>
      <c r="R59" s="1" t="s">
        <v>39</v>
      </c>
      <c r="S59" s="1" t="s">
        <v>39</v>
      </c>
      <c r="T59" s="1" t="s">
        <v>39</v>
      </c>
      <c r="U59" s="1" t="s">
        <v>39</v>
      </c>
      <c r="V59" s="1" t="s">
        <v>44</v>
      </c>
      <c r="W59" s="1" t="s">
        <v>39</v>
      </c>
      <c r="X59" s="1" t="s">
        <v>39</v>
      </c>
      <c r="Y59" s="1" t="s">
        <v>39</v>
      </c>
      <c r="Z59" s="1" t="s">
        <v>39</v>
      </c>
      <c r="AA59" s="1" t="s">
        <v>39</v>
      </c>
      <c r="AB59" s="1" t="s">
        <v>38</v>
      </c>
      <c r="AC59" s="1" t="s">
        <v>38</v>
      </c>
      <c r="AD59" s="1" t="s">
        <v>39</v>
      </c>
      <c r="AE59" s="5" t="s">
        <v>203</v>
      </c>
      <c r="AF59" s="5"/>
      <c r="AG59">
        <f>COUNTIF(OfficeForms.Table[[#This Row],[1- Existem materiais ou objetos desnecessários ou sem uso no posto de trabalho?.Materiais e objetos]:[22 - Existe percepção e evidencia de melhoria continua no posto?.Melhoria]],"Ruim")</f>
        <v>2</v>
      </c>
    </row>
    <row r="60" spans="1:33" ht="30.75">
      <c r="A60" s="2">
        <v>81</v>
      </c>
      <c r="B60" s="3">
        <v>46080.709895833301</v>
      </c>
      <c r="C60" s="3">
        <v>46080.716620370396</v>
      </c>
      <c r="D60" s="1" t="s">
        <v>63</v>
      </c>
      <c r="E60" s="1"/>
      <c r="F60" s="1" t="s">
        <v>34</v>
      </c>
      <c r="G60" s="1" t="s">
        <v>204</v>
      </c>
      <c r="H60" s="1" t="s">
        <v>92</v>
      </c>
      <c r="I60" s="1" t="s">
        <v>39</v>
      </c>
      <c r="J60" s="1" t="s">
        <v>45</v>
      </c>
      <c r="K60" s="1" t="s">
        <v>44</v>
      </c>
      <c r="L60" s="1" t="s">
        <v>39</v>
      </c>
      <c r="M60" s="1" t="s">
        <v>39</v>
      </c>
      <c r="N60" s="1" t="s">
        <v>39</v>
      </c>
      <c r="O60" s="1" t="s">
        <v>39</v>
      </c>
      <c r="P60" s="1" t="s">
        <v>39</v>
      </c>
      <c r="Q60" s="1" t="s">
        <v>39</v>
      </c>
      <c r="R60" s="1" t="s">
        <v>44</v>
      </c>
      <c r="S60" s="1" t="s">
        <v>38</v>
      </c>
      <c r="T60" s="1" t="s">
        <v>44</v>
      </c>
      <c r="U60" s="1" t="s">
        <v>45</v>
      </c>
      <c r="V60" s="1" t="s">
        <v>44</v>
      </c>
      <c r="W60" s="1" t="s">
        <v>44</v>
      </c>
      <c r="X60" s="1" t="s">
        <v>45</v>
      </c>
      <c r="Y60" s="1" t="s">
        <v>39</v>
      </c>
      <c r="Z60" s="1" t="s">
        <v>39</v>
      </c>
      <c r="AA60" s="1" t="s">
        <v>44</v>
      </c>
      <c r="AB60" s="1"/>
      <c r="AC60" s="1" t="s">
        <v>37</v>
      </c>
      <c r="AD60" s="1" t="s">
        <v>39</v>
      </c>
      <c r="AE60" s="5" t="s">
        <v>205</v>
      </c>
      <c r="AF60" s="5" t="s">
        <v>206</v>
      </c>
      <c r="AG60">
        <f>COUNTIF(OfficeForms.Table[[#This Row],[1- Existem materiais ou objetos desnecessários ou sem uso no posto de trabalho?.Materiais e objetos]:[22 - Existe percepção e evidencia de melhoria continua no posto?.Melhoria]],"Ruim")</f>
        <v>1</v>
      </c>
    </row>
    <row r="61" spans="1:33" ht="76.5">
      <c r="A61" s="2">
        <v>82</v>
      </c>
      <c r="B61" s="3">
        <v>46080.737916666701</v>
      </c>
      <c r="C61" s="3">
        <v>46080.743553240703</v>
      </c>
      <c r="D61" s="1" t="s">
        <v>63</v>
      </c>
      <c r="E61" s="1"/>
      <c r="F61" s="1" t="s">
        <v>34</v>
      </c>
      <c r="G61" s="1" t="s">
        <v>207</v>
      </c>
      <c r="H61" s="1" t="s">
        <v>208</v>
      </c>
      <c r="I61" s="1" t="s">
        <v>39</v>
      </c>
      <c r="J61" s="1" t="s">
        <v>39</v>
      </c>
      <c r="K61" s="1" t="s">
        <v>39</v>
      </c>
      <c r="L61" s="1" t="s">
        <v>39</v>
      </c>
      <c r="M61" s="1" t="s">
        <v>37</v>
      </c>
      <c r="N61" s="1" t="s">
        <v>37</v>
      </c>
      <c r="O61" s="1" t="s">
        <v>37</v>
      </c>
      <c r="P61" s="1" t="s">
        <v>38</v>
      </c>
      <c r="Q61" s="1" t="s">
        <v>39</v>
      </c>
      <c r="R61" s="1" t="s">
        <v>38</v>
      </c>
      <c r="S61" s="1" t="s">
        <v>37</v>
      </c>
      <c r="T61" s="1" t="s">
        <v>37</v>
      </c>
      <c r="U61" s="1" t="s">
        <v>37</v>
      </c>
      <c r="V61" s="1" t="s">
        <v>38</v>
      </c>
      <c r="W61" s="1" t="s">
        <v>39</v>
      </c>
      <c r="X61" s="1" t="s">
        <v>38</v>
      </c>
      <c r="Y61" s="1" t="s">
        <v>39</v>
      </c>
      <c r="Z61" s="1" t="s">
        <v>39</v>
      </c>
      <c r="AA61" s="1" t="s">
        <v>38</v>
      </c>
      <c r="AB61" s="1" t="s">
        <v>38</v>
      </c>
      <c r="AC61" s="1" t="s">
        <v>38</v>
      </c>
      <c r="AD61" s="1" t="s">
        <v>37</v>
      </c>
      <c r="AE61" s="5" t="s">
        <v>209</v>
      </c>
      <c r="AF61" s="5" t="s">
        <v>210</v>
      </c>
      <c r="AG61">
        <f>COUNTIF(OfficeForms.Table[[#This Row],[1- Existem materiais ou objetos desnecessários ou sem uso no posto de trabalho?.Materiais e objetos]:[22 - Existe percepção e evidencia de melhoria continua no posto?.Melhoria]],"Ruim")</f>
        <v>7</v>
      </c>
    </row>
    <row r="62" spans="1:33" ht="30.75">
      <c r="A62" s="2">
        <v>83</v>
      </c>
      <c r="B62" s="3">
        <v>46080.809525463003</v>
      </c>
      <c r="C62" s="3">
        <v>46080.817511574103</v>
      </c>
      <c r="D62" s="1" t="s">
        <v>63</v>
      </c>
      <c r="E62" s="1"/>
      <c r="F62" s="1" t="s">
        <v>34</v>
      </c>
      <c r="G62" s="1" t="s">
        <v>211</v>
      </c>
      <c r="H62" s="1" t="s">
        <v>135</v>
      </c>
      <c r="I62" s="1" t="s">
        <v>39</v>
      </c>
      <c r="J62" s="1" t="s">
        <v>39</v>
      </c>
      <c r="K62" s="1" t="s">
        <v>44</v>
      </c>
      <c r="L62" s="1" t="s">
        <v>39</v>
      </c>
      <c r="M62" s="1" t="s">
        <v>39</v>
      </c>
      <c r="N62" s="1" t="s">
        <v>37</v>
      </c>
      <c r="O62" s="1" t="s">
        <v>39</v>
      </c>
      <c r="P62" s="1" t="s">
        <v>38</v>
      </c>
      <c r="Q62" s="1" t="s">
        <v>38</v>
      </c>
      <c r="R62" s="1" t="s">
        <v>39</v>
      </c>
      <c r="S62" s="1" t="s">
        <v>37</v>
      </c>
      <c r="T62" s="1" t="s">
        <v>39</v>
      </c>
      <c r="U62" s="1" t="s">
        <v>39</v>
      </c>
      <c r="V62" s="1" t="s">
        <v>45</v>
      </c>
      <c r="W62" s="1" t="s">
        <v>39</v>
      </c>
      <c r="X62" s="1" t="s">
        <v>45</v>
      </c>
      <c r="Y62" s="1" t="s">
        <v>38</v>
      </c>
      <c r="Z62" s="1" t="s">
        <v>39</v>
      </c>
      <c r="AA62" s="1" t="s">
        <v>44</v>
      </c>
      <c r="AB62" s="1" t="s">
        <v>38</v>
      </c>
      <c r="AC62" s="1" t="s">
        <v>45</v>
      </c>
      <c r="AD62" s="1" t="s">
        <v>38</v>
      </c>
      <c r="AE62" s="5" t="s">
        <v>212</v>
      </c>
      <c r="AF62" s="5" t="s">
        <v>213</v>
      </c>
      <c r="AG62">
        <f>COUNTIF(OfficeForms.Table[[#This Row],[1- Existem materiais ou objetos desnecessários ou sem uso no posto de trabalho?.Materiais e objetos]:[22 - Existe percepção e evidencia de melhoria continua no posto?.Melhoria]],"Ruim")</f>
        <v>2</v>
      </c>
    </row>
    <row r="63" spans="1:33" ht="15">
      <c r="A63" s="2">
        <v>84</v>
      </c>
      <c r="B63" s="3">
        <v>46080.9934953704</v>
      </c>
      <c r="C63" s="3">
        <v>46080.997280092597</v>
      </c>
      <c r="D63" s="1" t="s">
        <v>63</v>
      </c>
      <c r="E63" s="1"/>
      <c r="F63" s="1" t="s">
        <v>34</v>
      </c>
      <c r="G63" s="1" t="s">
        <v>214</v>
      </c>
      <c r="H63" s="1" t="s">
        <v>56</v>
      </c>
      <c r="I63" s="1" t="s">
        <v>39</v>
      </c>
      <c r="J63" s="1" t="s">
        <v>44</v>
      </c>
      <c r="K63" s="1" t="s">
        <v>44</v>
      </c>
      <c r="L63" s="1" t="s">
        <v>44</v>
      </c>
      <c r="M63" s="1" t="s">
        <v>39</v>
      </c>
      <c r="N63" s="1" t="s">
        <v>39</v>
      </c>
      <c r="O63" s="1" t="s">
        <v>39</v>
      </c>
      <c r="P63" s="1" t="s">
        <v>39</v>
      </c>
      <c r="Q63" s="1" t="s">
        <v>39</v>
      </c>
      <c r="R63" s="1" t="s">
        <v>44</v>
      </c>
      <c r="S63" s="1" t="s">
        <v>39</v>
      </c>
      <c r="T63" s="1" t="s">
        <v>38</v>
      </c>
      <c r="U63" s="1" t="s">
        <v>45</v>
      </c>
      <c r="V63" s="1" t="s">
        <v>44</v>
      </c>
      <c r="W63" s="1" t="s">
        <v>44</v>
      </c>
      <c r="X63" s="1" t="s">
        <v>39</v>
      </c>
      <c r="Y63" s="1" t="s">
        <v>39</v>
      </c>
      <c r="Z63" s="1" t="s">
        <v>44</v>
      </c>
      <c r="AA63" s="1" t="s">
        <v>44</v>
      </c>
      <c r="AB63" s="1" t="s">
        <v>44</v>
      </c>
      <c r="AC63" s="1" t="s">
        <v>39</v>
      </c>
      <c r="AD63" s="1" t="s">
        <v>44</v>
      </c>
      <c r="AE63" s="5"/>
      <c r="AF63" s="5"/>
      <c r="AG63">
        <f>COUNTIF(OfficeForms.Table[[#This Row],[1- Existem materiais ou objetos desnecessários ou sem uso no posto de trabalho?.Materiais e objetos]:[22 - Existe percepção e evidencia de melhoria continua no posto?.Melhoria]],"Ruim")</f>
        <v>0</v>
      </c>
    </row>
    <row r="64" spans="1:33" ht="229.5">
      <c r="A64" s="2">
        <v>85</v>
      </c>
      <c r="B64" s="3">
        <v>46084.398113425901</v>
      </c>
      <c r="C64" s="3">
        <v>46084.427627314799</v>
      </c>
      <c r="D64" s="1" t="s">
        <v>63</v>
      </c>
      <c r="E64" s="1"/>
      <c r="F64" s="1" t="s">
        <v>34</v>
      </c>
      <c r="G64" s="1" t="s">
        <v>215</v>
      </c>
      <c r="H64" s="1" t="s">
        <v>74</v>
      </c>
      <c r="I64" s="1" t="s">
        <v>37</v>
      </c>
      <c r="J64" s="1" t="s">
        <v>39</v>
      </c>
      <c r="K64" s="1" t="s">
        <v>39</v>
      </c>
      <c r="L64" s="1" t="s">
        <v>37</v>
      </c>
      <c r="M64" s="1" t="s">
        <v>37</v>
      </c>
      <c r="N64" s="1" t="s">
        <v>39</v>
      </c>
      <c r="O64" s="1" t="s">
        <v>37</v>
      </c>
      <c r="P64" s="1" t="s">
        <v>37</v>
      </c>
      <c r="Q64" s="1" t="s">
        <v>37</v>
      </c>
      <c r="R64" s="1" t="s">
        <v>38</v>
      </c>
      <c r="S64" s="1" t="s">
        <v>37</v>
      </c>
      <c r="T64" s="1" t="s">
        <v>37</v>
      </c>
      <c r="U64" s="1" t="s">
        <v>39</v>
      </c>
      <c r="V64" s="1" t="s">
        <v>37</v>
      </c>
      <c r="W64" s="1" t="s">
        <v>39</v>
      </c>
      <c r="X64" s="1" t="s">
        <v>37</v>
      </c>
      <c r="Y64" s="1" t="s">
        <v>37</v>
      </c>
      <c r="Z64" s="1" t="s">
        <v>39</v>
      </c>
      <c r="AA64" s="1" t="s">
        <v>39</v>
      </c>
      <c r="AB64" s="1" t="s">
        <v>37</v>
      </c>
      <c r="AC64" s="1" t="s">
        <v>38</v>
      </c>
      <c r="AD64" s="1" t="s">
        <v>37</v>
      </c>
      <c r="AE64" s="5" t="s">
        <v>216</v>
      </c>
      <c r="AF64" s="5" t="s">
        <v>217</v>
      </c>
      <c r="AG64">
        <f>COUNTIF(OfficeForms.Table[[#This Row],[1- Existem materiais ou objetos desnecessários ou sem uso no posto de trabalho?.Materiais e objetos]:[22 - Existe percepção e evidencia de melhoria continua no posto?.Melhoria]],"Ruim")</f>
        <v>13</v>
      </c>
    </row>
    <row r="65" spans="1:33" ht="60.75">
      <c r="A65" s="2">
        <v>86</v>
      </c>
      <c r="B65" s="3">
        <v>46085.569317129601</v>
      </c>
      <c r="C65" s="3">
        <v>46085.577488425901</v>
      </c>
      <c r="D65" s="1" t="s">
        <v>63</v>
      </c>
      <c r="E65" s="1"/>
      <c r="F65" s="1" t="s">
        <v>34</v>
      </c>
      <c r="G65" s="1" t="s">
        <v>218</v>
      </c>
      <c r="H65" s="1" t="s">
        <v>67</v>
      </c>
      <c r="I65" s="1" t="s">
        <v>39</v>
      </c>
      <c r="J65" s="1" t="s">
        <v>39</v>
      </c>
      <c r="K65" s="1" t="s">
        <v>39</v>
      </c>
      <c r="L65" s="1" t="s">
        <v>39</v>
      </c>
      <c r="M65" s="1" t="s">
        <v>39</v>
      </c>
      <c r="N65" s="1" t="s">
        <v>39</v>
      </c>
      <c r="O65" s="1" t="s">
        <v>37</v>
      </c>
      <c r="P65" s="1"/>
      <c r="Q65" s="1" t="s">
        <v>37</v>
      </c>
      <c r="R65" s="1" t="s">
        <v>39</v>
      </c>
      <c r="S65" s="1" t="s">
        <v>39</v>
      </c>
      <c r="T65" s="1" t="s">
        <v>37</v>
      </c>
      <c r="U65" s="1" t="s">
        <v>37</v>
      </c>
      <c r="V65" s="1" t="s">
        <v>39</v>
      </c>
      <c r="W65" s="1" t="s">
        <v>39</v>
      </c>
      <c r="X65" s="1" t="s">
        <v>37</v>
      </c>
      <c r="Y65" s="1" t="s">
        <v>39</v>
      </c>
      <c r="Z65" s="1" t="s">
        <v>39</v>
      </c>
      <c r="AA65" s="1" t="s">
        <v>39</v>
      </c>
      <c r="AB65" s="1" t="s">
        <v>39</v>
      </c>
      <c r="AC65" s="1" t="s">
        <v>39</v>
      </c>
      <c r="AD65" s="1" t="s">
        <v>39</v>
      </c>
      <c r="AE65" s="5"/>
      <c r="AF65" s="5" t="s">
        <v>219</v>
      </c>
      <c r="AG65">
        <f>COUNTIF(OfficeForms.Table[[#This Row],[1- Existem materiais ou objetos desnecessários ou sem uso no posto de trabalho?.Materiais e objetos]:[22 - Existe percepção e evidencia de melhoria continua no posto?.Melhoria]],"Ruim")</f>
        <v>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2026-01-06T18:49:45Z</dcterms:created>
  <dcterms:modified xsi:type="dcterms:W3CDTF">2026-03-09T01:43:55Z</dcterms:modified>
  <cp:category/>
  <cp:contentStatus/>
</cp:coreProperties>
</file>